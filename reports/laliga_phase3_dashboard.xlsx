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charts/chart4.xml" ContentType="application/vnd.openxmlformats-officedocument.drawingml.chart+xml"/>
  <Override PartName="/xl/worksheets/sheet5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4.xml" ContentType="application/vnd.openxmlformats-officedocument.drawing+xml"/>
  <Override PartName="/xl/drawings/charts/chart5.xml" ContentType="application/vnd.openxmlformats-officedocument.drawingml.char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8746bc0c3e4b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53157e73ea549a8"/>
    <x:sheet xmlns:r="http://schemas.openxmlformats.org/officeDocument/2006/relationships" name="Temporadas" sheetId="2" r:id="R9ff6a32011484eec"/>
    <x:sheet xmlns:r="http://schemas.openxmlformats.org/officeDocument/2006/relationships" name="Ascendidos" sheetId="3" r:id="R701e5f61e6f34bac"/>
    <x:sheet xmlns:r="http://schemas.openxmlformats.org/officeDocument/2006/relationships" name="Mercado" sheetId="4" r:id="R133c5823c8ed4c29"/>
    <x:sheet xmlns:r="http://schemas.openxmlformats.org/officeDocument/2006/relationships" name="Variables" sheetId="5" r:id="Rd6f8631ddcd04ca6"/>
  </x:sheets>
</x:workbook>
</file>

<file path=xl/comments1.xml><?xml version="1.0" encoding="utf-8"?>
<x:comments xmlns:x="http://schemas.openxmlformats.org/spreadsheetml/2006/main">
  <x:authors>
    <x:author>tc={157B945C-1F24-188F-9B5C-C3B53C1714EC}</x:author>
  </x:authors>
  <x:commentList>
    <x:comment ref="J10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El ROI se calcula con una unidad apostada al favorito de cada partido, sin comisiones adicionales.</x:t>
        </x:r>
      </x:text>
    </x:comment>
  </x:commentList>
</x:comments>
</file>

<file path=xl/comments2.xml><?xml version="1.0" encoding="utf-8"?>
<x:comments xmlns:x="http://schemas.openxmlformats.org/spreadsheetml/2006/main">
  <x:authors>
    <x:author>tc={23A6307C-0EA6-C23C-917B-1C136ED14C64}</x:author>
  </x:authors>
  <x:commentList>
    <x:comment ref="D2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Eta cuadrado se calcula únicamente con 2016/17–2022/23 para no usar validación o prueba en la exploración de variables.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.00"/>
    <x:numFmt numFmtId="202" formatCode="0.0%"/>
    <x:numFmt numFmtId="203" formatCode="0.000"/>
    <x:numFmt numFmtId="204" formatCode="0"/>
  </x:numFmts>
  <x:fonts count="18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7324D"/>
      <x:name val="Carlito"/>
    </x:font>
    <x:font>
      <x:b/>
      <x:sz val="11"/>
      <x:color rgb="FF17324D"/>
      <x:name val="Carlito"/>
    </x:font>
    <x:font>
      <x:b/>
      <x:sz val="20"/>
      <x:color rgb="FF17324D"/>
      <x:name val="Carlito"/>
    </x:font>
    <x:font>
      <x:b/>
      <x:sz val="11"/>
      <x:color rgb="FFFFFFFF"/>
      <x:name val="Carlito"/>
    </x:font>
    <x:font>
      <x:sz val="11"/>
      <x:color rgb="FF344054"/>
      <x:name val="Carlito"/>
    </x:font>
    <x:font>
      <x:sz val="11"/>
      <x:color rgb="FF1F5132"/>
      <x:name val="Carlito"/>
    </x:font>
    <x:font>
      <x:b/>
      <x:sz val="18"/>
      <x:color rgb="FFFFFFFF"/>
      <x:name val="Aptos"/>
    </x:font>
    <x:font>
      <x:i/>
      <x:sz val="11"/>
      <x:color rgb="FF17324D"/>
      <x:name val="Aptos"/>
    </x:font>
    <x:font>
      <x:sz val="11"/>
      <x:name val="Aptos"/>
    </x:font>
    <x:font>
      <x:b/>
      <x:sz val="11"/>
      <x:color rgb="FF17324D"/>
      <x:name val="Aptos"/>
    </x:font>
    <x:font>
      <x:b/>
      <x:sz val="20"/>
      <x:color rgb="FF17324D"/>
      <x:name val="Aptos"/>
    </x:font>
    <x:font>
      <x:b/>
      <x:sz val="11"/>
      <x:color rgb="FFFFFFFF"/>
      <x:name val="Aptos"/>
    </x:font>
    <x:font>
      <x:sz val="11"/>
      <x:color rgb="FF344054"/>
      <x:name val="Aptos"/>
    </x:font>
    <x:font>
      <x:sz val="11"/>
      <x:color rgb="FF1F5132"/>
      <x:name val="Aptos"/>
    </x:font>
    <x:font>
      <x:sz val="11"/>
      <x:color rgb="FF202124"/>
      <x:name val="Carlito"/>
    </x:font>
    <x:font>
      <x:sz val="11"/>
      <x:color rgb="FF202124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F5F7FA"/>
      </x:patternFill>
    </x:fill>
    <x:fill>
      <x:patternFill patternType="solid">
        <x:fgColor rgb="FF2E7D32"/>
      </x:patternFill>
    </x:fill>
    <x:fill>
      <x:patternFill patternType="solid">
        <x:fgColor rgb="FFE2F0D9"/>
      </x:patternFill>
    </x:fill>
    <x:fill>
      <x:patternFill patternType="solid">
        <x:fgColor rgb="FF2F75B5"/>
      </x:patternFill>
    </x:fill>
  </x:fills>
  <x:borders count="30">
    <x:border/>
    <x:border>
      <x:left style="thin">
        <x:color rgb="FFB8C5D1"/>
      </x:left>
      <x:top style="thin">
        <x:color rgb="FFB8C5D1"/>
      </x:top>
      <x:bottom style="thin">
        <x:color rgb="FFB8C5D1"/>
      </x:bottom>
    </x:border>
    <x:border>
      <x:top style="thin">
        <x:color rgb="FFB8C5D1"/>
      </x:top>
      <x:bottom style="thin">
        <x:color rgb="FFB8C5D1"/>
      </x:bottom>
    </x:border>
    <x:border>
      <x:right style="thin">
        <x:color rgb="FFB8C5D1"/>
      </x:right>
      <x:top style="thin">
        <x:color rgb="FFB8C5D1"/>
      </x:top>
      <x:bottom style="thin">
        <x:color rgb="FFB8C5D1"/>
      </x:bottom>
    </x:border>
    <x:border>
      <x:left style="thin">
        <x:color rgb="FFB8C5D1"/>
      </x:left>
      <x:top style="thin">
        <x:color rgb="FFB8C5D1"/>
      </x:top>
    </x:border>
    <x:border>
      <x:top style="thin">
        <x:color rgb="FFB8C5D1"/>
      </x:top>
    </x:border>
    <x:border>
      <x:right style="thin">
        <x:color rgb="FFB8C5D1"/>
      </x:right>
      <x:top style="thin">
        <x:color rgb="FFB8C5D1"/>
      </x:top>
    </x:border>
    <x:border>
      <x:left style="thin">
        <x:color rgb="FFB8C5D1"/>
      </x:left>
      <x:bottom style="thin">
        <x:color rgb="FFB8C5D1"/>
      </x:bottom>
    </x:border>
    <x:border>
      <x:bottom style="thin">
        <x:color rgb="FFB8C5D1"/>
      </x:bottom>
    </x:border>
    <x:border>
      <x:right style="thin">
        <x:color rgb="FFB8C5D1"/>
      </x:right>
      <x:bottom style="thin">
        <x:color rgb="FFB8C5D1"/>
      </x:bottom>
    </x:border>
    <x:border>
      <x:left style="thin">
        <x:color rgb="FFD0D5DD"/>
      </x:left>
      <x:top style="thin">
        <x:color rgb="FFD0D5DD"/>
      </x:top>
    </x:border>
    <x:border>
      <x:top style="thin">
        <x:color rgb="FFD0D5DD"/>
      </x:top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</x:border>
    <x:border>
      <x:right style="thin">
        <x:color rgb="FFD0D5DD"/>
      </x:right>
    </x:border>
    <x:border>
      <x:left style="thin">
        <x:color rgb="FFD0D5DD"/>
      </x:left>
      <x:bottom style="thin">
        <x:color rgb="FFD0D5DD"/>
      </x:bottom>
    </x:border>
    <x:border>
      <x:bottom style="thin">
        <x:color rgb="FFD0D5DD"/>
      </x:bottom>
    </x:border>
    <x:border>
      <x:right style="thin">
        <x:color rgb="FFD0D5DD"/>
      </x:right>
      <x:bottom style="thin">
        <x:color rgb="FFD0D5DD"/>
      </x:bottom>
    </x:border>
    <x:border>
      <x:left style="thin">
        <x:color rgb="FFA9D18E"/>
      </x:left>
      <x:top style="thin">
        <x:color rgb="FFA9D18E"/>
      </x:top>
    </x:border>
    <x:border>
      <x:top style="thin">
        <x:color rgb="FFA9D18E"/>
      </x:top>
    </x:border>
    <x:border>
      <x:right style="thin">
        <x:color rgb="FFA9D18E"/>
      </x:right>
      <x:top style="thin">
        <x:color rgb="FFA9D18E"/>
      </x:top>
    </x:border>
    <x:border>
      <x:left style="thin">
        <x:color rgb="FFA9D18E"/>
      </x:left>
    </x:border>
    <x:border>
      <x:right style="thin">
        <x:color rgb="FFA9D18E"/>
      </x:right>
    </x:border>
    <x:border>
      <x:left style="thin">
        <x:color rgb="FFA9D18E"/>
      </x:left>
      <x:bottom style="thin">
        <x:color rgb="FFA9D18E"/>
      </x:bottom>
    </x:border>
    <x:border>
      <x:bottom style="thin">
        <x:color rgb="FFA9D18E"/>
      </x:bottom>
    </x:border>
    <x:border>
      <x:right style="thin">
        <x:color rgb="FFA9D18E"/>
      </x:right>
      <x:bottom style="thin">
        <x:color rgb="FFA9D18E"/>
      </x:bottom>
    </x:border>
    <x:border>
      <x:left style="thin">
        <x:color rgb="FFD0D5DD"/>
      </x:left>
      <x:right style="thin">
        <x:color rgb="FFD0D5DD"/>
      </x:right>
    </x:border>
    <x:border>
      <x:bottom style="thin">
        <x:color rgb="FFE4E7EC"/>
      </x:bottom>
    </x:border>
    <x:border>
      <x:top style="thin">
        <x:color rgb="FFE4E7EC"/>
      </x:top>
      <x:bottom style="thin">
        <x:color rgb="FFE4E7EC"/>
      </x:bottom>
    </x:border>
    <x:border>
      <x:top style="thin">
        <x:color rgb="FFE4E7EC"/>
      </x:top>
    </x:border>
  </x:borders>
  <x:cellStyleXfs count="1">
    <x:xf numFmtId="0" fontId="0" fillId="0" borderId="0"/>
  </x:cellStyleXfs>
  <x:cellXfs count="25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2" xfId="0" applyNumberFormat="1" applyFont="1" applyFill="1" applyBorder="1" applyAlignment="1">
      <x:alignment horizontal="center"/>
    </x:xf>
    <x:xf numFmtId="0" fontId="3" fillId="3" borderId="3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3" fillId="3" borderId="2" xfId="0" applyNumberFormat="1" applyFont="1" applyFill="1" applyBorder="1" applyAlignment="1">
      <x:alignment horizontal="center" vertical="center"/>
    </x:xf>
    <x:xf numFmtId="0" fontId="3" fillId="3" borderId="3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4" xfId="0" applyNumberFormat="1" applyFont="1" applyFill="1" applyBorder="1"/>
    <x:xf numFmtId="0" fontId="4" fillId="4" borderId="5" xfId="0" applyNumberFormat="1" applyFont="1" applyFill="1" applyBorder="1"/>
    <x:xf numFmtId="0" fontId="4" fillId="4" borderId="6" xfId="0" applyNumberFormat="1" applyFont="1" applyFill="1" applyBorder="1"/>
    <x:xf numFmtId="0" fontId="4" fillId="4" borderId="7" xfId="0" applyNumberFormat="1" applyFont="1" applyFill="1" applyBorder="1"/>
    <x:xf numFmtId="0" fontId="4" fillId="4" borderId="8" xfId="0" applyNumberFormat="1" applyFont="1" applyFill="1" applyBorder="1"/>
    <x:xf numFmtId="0" fontId="4" fillId="4" borderId="9" xfId="0" applyNumberFormat="1" applyFont="1" applyFill="1" applyBorder="1"/>
    <x:xf numFmtId="200" fontId="4" fillId="4" borderId="4" xfId="0" applyNumberFormat="1" applyFont="1" applyFill="1" applyBorder="1"/>
    <x:xf numFmtId="200" fontId="4" fillId="4" borderId="5" xfId="0" applyNumberFormat="1" applyFont="1" applyFill="1" applyBorder="1"/>
    <x:xf numFmtId="200" fontId="4" fillId="4" borderId="6" xfId="0" applyNumberFormat="1" applyFont="1" applyFill="1" applyBorder="1"/>
    <x:xf numFmtId="200" fontId="4" fillId="4" borderId="7" xfId="0" applyNumberFormat="1" applyFont="1" applyFill="1" applyBorder="1"/>
    <x:xf numFmtId="200" fontId="4" fillId="4" borderId="8" xfId="0" applyNumberFormat="1" applyFont="1" applyFill="1" applyBorder="1"/>
    <x:xf numFmtId="200" fontId="4" fillId="4" borderId="9" xfId="0" applyNumberFormat="1" applyFont="1" applyFill="1" applyBorder="1"/>
    <x:xf numFmtId="200" fontId="4" fillId="4" borderId="4" xfId="0" applyNumberFormat="1" applyFont="1" applyFill="1" applyBorder="1" applyAlignment="1">
      <x:alignment horizontal="center"/>
    </x:xf>
    <x:xf numFmtId="200" fontId="4" fillId="4" borderId="5" xfId="0" applyNumberFormat="1" applyFont="1" applyFill="1" applyBorder="1" applyAlignment="1">
      <x:alignment horizontal="center"/>
    </x:xf>
    <x:xf numFmtId="200" fontId="4" fillId="4" borderId="6" xfId="0" applyNumberFormat="1" applyFont="1" applyFill="1" applyBorder="1" applyAlignment="1">
      <x:alignment horizontal="center"/>
    </x:xf>
    <x:xf numFmtId="200" fontId="4" fillId="4" borderId="7" xfId="0" applyNumberFormat="1" applyFont="1" applyFill="1" applyBorder="1" applyAlignment="1">
      <x:alignment horizontal="center"/>
    </x:xf>
    <x:xf numFmtId="200" fontId="4" fillId="4" borderId="8" xfId="0" applyNumberFormat="1" applyFont="1" applyFill="1" applyBorder="1" applyAlignment="1">
      <x:alignment horizontal="center"/>
    </x:xf>
    <x:xf numFmtId="200" fontId="4" fillId="4" borderId="9" xfId="0" applyNumberFormat="1" applyFont="1" applyFill="1" applyBorder="1" applyAlignment="1">
      <x:alignment horizontal="center"/>
    </x:xf>
    <x:xf numFmtId="200" fontId="4" fillId="4" borderId="4" xfId="0" applyNumberFormat="1" applyFont="1" applyFill="1" applyBorder="1" applyAlignment="1">
      <x:alignment horizontal="center" vertical="center"/>
    </x:xf>
    <x:xf numFmtId="200" fontId="4" fillId="4" borderId="5" xfId="0" applyNumberFormat="1" applyFont="1" applyFill="1" applyBorder="1" applyAlignment="1">
      <x:alignment horizontal="center" vertical="center"/>
    </x:xf>
    <x:xf numFmtId="200" fontId="4" fillId="4" borderId="6" xfId="0" applyNumberFormat="1" applyFont="1" applyFill="1" applyBorder="1" applyAlignment="1">
      <x:alignment horizontal="center" vertical="center"/>
    </x:xf>
    <x:xf numFmtId="200" fontId="4" fillId="4" borderId="7" xfId="0" applyNumberFormat="1" applyFont="1" applyFill="1" applyBorder="1" applyAlignment="1">
      <x:alignment horizontal="center" vertical="center"/>
    </x:xf>
    <x:xf numFmtId="200" fontId="4" fillId="4" borderId="8" xfId="0" applyNumberFormat="1" applyFont="1" applyFill="1" applyBorder="1" applyAlignment="1">
      <x:alignment horizontal="center" vertical="center"/>
    </x:xf>
    <x:xf numFmtId="200" fontId="4" fillId="4" borderId="9" xfId="0" applyNumberFormat="1" applyFont="1" applyFill="1" applyBorder="1" applyAlignment="1">
      <x:alignment horizontal="center" vertical="center"/>
    </x:xf>
    <x:xf numFmtId="201" fontId="4" fillId="4" borderId="4" xfId="0" applyNumberFormat="1" applyFont="1" applyFill="1" applyBorder="1"/>
    <x:xf numFmtId="201" fontId="4" fillId="4" borderId="5" xfId="0" applyNumberFormat="1" applyFont="1" applyFill="1" applyBorder="1"/>
    <x:xf numFmtId="201" fontId="4" fillId="4" borderId="6" xfId="0" applyNumberFormat="1" applyFont="1" applyFill="1" applyBorder="1"/>
    <x:xf numFmtId="201" fontId="4" fillId="4" borderId="7" xfId="0" applyNumberFormat="1" applyFont="1" applyFill="1" applyBorder="1"/>
    <x:xf numFmtId="201" fontId="4" fillId="4" borderId="8" xfId="0" applyNumberFormat="1" applyFont="1" applyFill="1" applyBorder="1"/>
    <x:xf numFmtId="201" fontId="4" fillId="4" borderId="9" xfId="0" applyNumberFormat="1" applyFont="1" applyFill="1" applyBorder="1"/>
    <x:xf numFmtId="201" fontId="4" fillId="4" borderId="4" xfId="0" applyNumberFormat="1" applyFont="1" applyFill="1" applyBorder="1" applyAlignment="1">
      <x:alignment horizontal="center"/>
    </x:xf>
    <x:xf numFmtId="201" fontId="4" fillId="4" borderId="5" xfId="0" applyNumberFormat="1" applyFont="1" applyFill="1" applyBorder="1" applyAlignment="1">
      <x:alignment horizontal="center"/>
    </x:xf>
    <x:xf numFmtId="201" fontId="4" fillId="4" borderId="6" xfId="0" applyNumberFormat="1" applyFont="1" applyFill="1" applyBorder="1" applyAlignment="1">
      <x:alignment horizontal="center"/>
    </x:xf>
    <x:xf numFmtId="201" fontId="4" fillId="4" borderId="7" xfId="0" applyNumberFormat="1" applyFont="1" applyFill="1" applyBorder="1" applyAlignment="1">
      <x:alignment horizontal="center"/>
    </x:xf>
    <x:xf numFmtId="201" fontId="4" fillId="4" borderId="8" xfId="0" applyNumberFormat="1" applyFont="1" applyFill="1" applyBorder="1" applyAlignment="1">
      <x:alignment horizontal="center"/>
    </x:xf>
    <x:xf numFmtId="201" fontId="4" fillId="4" borderId="9" xfId="0" applyNumberFormat="1" applyFont="1" applyFill="1" applyBorder="1" applyAlignment="1">
      <x:alignment horizontal="center"/>
    </x:xf>
    <x:xf numFmtId="201" fontId="4" fillId="4" borderId="4" xfId="0" applyNumberFormat="1" applyFont="1" applyFill="1" applyBorder="1" applyAlignment="1">
      <x:alignment horizontal="center" vertical="center"/>
    </x:xf>
    <x:xf numFmtId="201" fontId="4" fillId="4" borderId="5" xfId="0" applyNumberFormat="1" applyFont="1" applyFill="1" applyBorder="1" applyAlignment="1">
      <x:alignment horizontal="center" vertical="center"/>
    </x:xf>
    <x:xf numFmtId="201" fontId="4" fillId="4" borderId="6" xfId="0" applyNumberFormat="1" applyFont="1" applyFill="1" applyBorder="1" applyAlignment="1">
      <x:alignment horizontal="center" vertical="center"/>
    </x:xf>
    <x:xf numFmtId="201" fontId="4" fillId="4" borderId="7" xfId="0" applyNumberFormat="1" applyFont="1" applyFill="1" applyBorder="1" applyAlignment="1">
      <x:alignment horizontal="center" vertical="center"/>
    </x:xf>
    <x:xf numFmtId="201" fontId="4" fillId="4" borderId="8" xfId="0" applyNumberFormat="1" applyFont="1" applyFill="1" applyBorder="1" applyAlignment="1">
      <x:alignment horizontal="center" vertical="center"/>
    </x:xf>
    <x:xf numFmtId="201" fontId="4" fillId="4" borderId="9" xfId="0" applyNumberFormat="1" applyFont="1" applyFill="1" applyBorder="1" applyAlignment="1">
      <x:alignment horizontal="center" vertical="center"/>
    </x:xf>
    <x:xf numFmtId="202" fontId="4" fillId="4" borderId="4" xfId="0" applyNumberFormat="1" applyFont="1" applyFill="1" applyBorder="1"/>
    <x:xf numFmtId="202" fontId="4" fillId="4" borderId="5" xfId="0" applyNumberFormat="1" applyFont="1" applyFill="1" applyBorder="1"/>
    <x:xf numFmtId="202" fontId="4" fillId="4" borderId="6" xfId="0" applyNumberFormat="1" applyFont="1" applyFill="1" applyBorder="1"/>
    <x:xf numFmtId="202" fontId="4" fillId="4" borderId="7" xfId="0" applyNumberFormat="1" applyFont="1" applyFill="1" applyBorder="1"/>
    <x:xf numFmtId="202" fontId="4" fillId="4" borderId="8" xfId="0" applyNumberFormat="1" applyFont="1" applyFill="1" applyBorder="1"/>
    <x:xf numFmtId="202" fontId="4" fillId="4" borderId="9" xfId="0" applyNumberFormat="1" applyFont="1" applyFill="1" applyBorder="1"/>
    <x:xf numFmtId="202" fontId="4" fillId="4" borderId="4" xfId="0" applyNumberFormat="1" applyFont="1" applyFill="1" applyBorder="1" applyAlignment="1">
      <x:alignment horizontal="center"/>
    </x:xf>
    <x:xf numFmtId="202" fontId="4" fillId="4" borderId="5" xfId="0" applyNumberFormat="1" applyFont="1" applyFill="1" applyBorder="1" applyAlignment="1">
      <x:alignment horizontal="center"/>
    </x:xf>
    <x:xf numFmtId="202" fontId="4" fillId="4" borderId="6" xfId="0" applyNumberFormat="1" applyFont="1" applyFill="1" applyBorder="1" applyAlignment="1">
      <x:alignment horizontal="center"/>
    </x:xf>
    <x:xf numFmtId="202" fontId="4" fillId="4" borderId="7" xfId="0" applyNumberFormat="1" applyFont="1" applyFill="1" applyBorder="1" applyAlignment="1">
      <x:alignment horizontal="center"/>
    </x:xf>
    <x:xf numFmtId="202" fontId="4" fillId="4" borderId="8" xfId="0" applyNumberFormat="1" applyFont="1" applyFill="1" applyBorder="1" applyAlignment="1">
      <x:alignment horizontal="center"/>
    </x:xf>
    <x:xf numFmtId="202" fontId="4" fillId="4" borderId="9" xfId="0" applyNumberFormat="1" applyFont="1" applyFill="1" applyBorder="1" applyAlignment="1">
      <x:alignment horizontal="center"/>
    </x:xf>
    <x:xf numFmtId="202" fontId="4" fillId="4" borderId="4" xfId="0" applyNumberFormat="1" applyFont="1" applyFill="1" applyBorder="1" applyAlignment="1">
      <x:alignment horizontal="center" vertical="center"/>
    </x:xf>
    <x:xf numFmtId="202" fontId="4" fillId="4" borderId="5" xfId="0" applyNumberFormat="1" applyFont="1" applyFill="1" applyBorder="1" applyAlignment="1">
      <x:alignment horizontal="center" vertical="center"/>
    </x:xf>
    <x:xf numFmtId="202" fontId="4" fillId="4" borderId="6" xfId="0" applyNumberFormat="1" applyFont="1" applyFill="1" applyBorder="1" applyAlignment="1">
      <x:alignment horizontal="center" vertical="center"/>
    </x:xf>
    <x:xf numFmtId="202" fontId="4" fillId="4" borderId="7" xfId="0" applyNumberFormat="1" applyFont="1" applyFill="1" applyBorder="1" applyAlignment="1">
      <x:alignment horizontal="center" vertical="center"/>
    </x:xf>
    <x:xf numFmtId="202" fontId="4" fillId="4" borderId="8" xfId="0" applyNumberFormat="1" applyFont="1" applyFill="1" applyBorder="1" applyAlignment="1">
      <x:alignment horizontal="center" vertical="center"/>
    </x:xf>
    <x:xf numFmtId="202" fontId="4" fillId="4" borderId="9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10" xfId="0" applyNumberFormat="1" applyFont="1" applyFill="1" applyBorder="1"/>
    <x:xf numFmtId="0" fontId="6" fillId="5" borderId="11" xfId="0" applyNumberFormat="1" applyFont="1" applyFill="1" applyBorder="1"/>
    <x:xf numFmtId="0" fontId="6" fillId="5" borderId="12" xfId="0" applyNumberFormat="1" applyFont="1" applyFill="1" applyBorder="1"/>
    <x:xf numFmtId="0" fontId="6" fillId="5" borderId="13" xfId="0" applyNumberFormat="1" applyFont="1" applyFill="1" applyBorder="1"/>
    <x:xf numFmtId="0" fontId="6" fillId="5" borderId="14" xfId="0" applyNumberFormat="1" applyFont="1" applyFill="1" applyBorder="1"/>
    <x:xf numFmtId="0" fontId="6" fillId="5" borderId="15" xfId="0" applyNumberFormat="1" applyFont="1" applyFill="1" applyBorder="1"/>
    <x:xf numFmtId="0" fontId="6" fillId="5" borderId="16" xfId="0" applyNumberFormat="1" applyFont="1" applyFill="1" applyBorder="1"/>
    <x:xf numFmtId="0" fontId="6" fillId="5" borderId="17" xfId="0" applyNumberFormat="1" applyFont="1" applyFill="1" applyBorder="1"/>
    <x:xf numFmtId="0" fontId="6" fillId="5" borderId="10" xfId="0" applyNumberFormat="1" applyFont="1" applyFill="1" applyBorder="1" applyAlignment="1">
      <x:alignment wrapText="1"/>
    </x:xf>
    <x:xf numFmtId="0" fontId="6" fillId="5" borderId="11" xfId="0" applyNumberFormat="1" applyFont="1" applyFill="1" applyBorder="1" applyAlignment="1">
      <x:alignment wrapText="1"/>
    </x:xf>
    <x:xf numFmtId="0" fontId="6" fillId="5" borderId="12" xfId="0" applyNumberFormat="1" applyFont="1" applyFill="1" applyBorder="1" applyAlignment="1">
      <x:alignment wrapText="1"/>
    </x:xf>
    <x:xf numFmtId="0" fontId="6" fillId="5" borderId="13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wrapText="1"/>
    </x:xf>
    <x:xf numFmtId="0" fontId="6" fillId="5" borderId="14" xfId="0" applyNumberFormat="1" applyFont="1" applyFill="1" applyBorder="1" applyAlignment="1">
      <x:alignment wrapText="1"/>
    </x:xf>
    <x:xf numFmtId="0" fontId="6" fillId="5" borderId="15" xfId="0" applyNumberFormat="1" applyFont="1" applyFill="1" applyBorder="1" applyAlignment="1">
      <x:alignment wrapText="1"/>
    </x:xf>
    <x:xf numFmtId="0" fontId="6" fillId="5" borderId="16" xfId="0" applyNumberFormat="1" applyFont="1" applyFill="1" applyBorder="1" applyAlignment="1">
      <x:alignment wrapText="1"/>
    </x:xf>
    <x:xf numFmtId="0" fontId="6" fillId="5" borderId="17" xfId="0" applyNumberFormat="1" applyFont="1" applyFill="1" applyBorder="1" applyAlignment="1">
      <x:alignment wrapText="1"/>
    </x:xf>
    <x:xf numFmtId="0" fontId="6" fillId="5" borderId="10" xfId="0" applyNumberFormat="1" applyFont="1" applyFill="1" applyBorder="1" applyAlignment="1">
      <x:alignment vertical="top" wrapText="1"/>
    </x:xf>
    <x:xf numFmtId="0" fontId="6" fillId="5" borderId="11" xfId="0" applyNumberFormat="1" applyFont="1" applyFill="1" applyBorder="1" applyAlignment="1">
      <x:alignment vertical="top" wrapText="1"/>
    </x:xf>
    <x:xf numFmtId="0" fontId="6" fillId="5" borderId="12" xfId="0" applyNumberFormat="1" applyFont="1" applyFill="1" applyBorder="1" applyAlignment="1">
      <x:alignment vertical="top" wrapText="1"/>
    </x:xf>
    <x:xf numFmtId="0" fontId="6" fillId="5" borderId="13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vertical="top" wrapText="1"/>
    </x:xf>
    <x:xf numFmtId="0" fontId="6" fillId="5" borderId="14" xfId="0" applyNumberFormat="1" applyFont="1" applyFill="1" applyBorder="1" applyAlignment="1">
      <x:alignment vertical="top" wrapText="1"/>
    </x:xf>
    <x:xf numFmtId="0" fontId="6" fillId="5" borderId="15" xfId="0" applyNumberFormat="1" applyFont="1" applyFill="1" applyBorder="1" applyAlignment="1">
      <x:alignment vertical="top" wrapText="1"/>
    </x:xf>
    <x:xf numFmtId="0" fontId="6" fillId="5" borderId="16" xfId="0" applyNumberFormat="1" applyFont="1" applyFill="1" applyBorder="1" applyAlignment="1">
      <x:alignment vertical="top" wrapText="1"/>
    </x:xf>
    <x:xf numFmtId="0" fontId="6" fillId="5" borderId="17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18" xfId="0" applyNumberFormat="1" applyFont="1" applyFill="1" applyBorder="1"/>
    <x:xf numFmtId="0" fontId="7" fillId="7" borderId="19" xfId="0" applyNumberFormat="1" applyFont="1" applyFill="1" applyBorder="1"/>
    <x:xf numFmtId="0" fontId="7" fillId="7" borderId="20" xfId="0" applyNumberFormat="1" applyFont="1" applyFill="1" applyBorder="1"/>
    <x:xf numFmtId="0" fontId="7" fillId="7" borderId="21" xfId="0" applyNumberFormat="1" applyFont="1" applyFill="1" applyBorder="1"/>
    <x:xf numFmtId="0" fontId="7" fillId="7" borderId="22" xfId="0" applyNumberFormat="1" applyFont="1" applyFill="1" applyBorder="1"/>
    <x:xf numFmtId="0" fontId="7" fillId="7" borderId="23" xfId="0" applyNumberFormat="1" applyFont="1" applyFill="1" applyBorder="1"/>
    <x:xf numFmtId="0" fontId="7" fillId="7" borderId="24" xfId="0" applyNumberFormat="1" applyFont="1" applyFill="1" applyBorder="1"/>
    <x:xf numFmtId="0" fontId="7" fillId="7" borderId="25" xfId="0" applyNumberFormat="1" applyFont="1" applyFill="1" applyBorder="1"/>
    <x:xf numFmtId="0" fontId="7" fillId="7" borderId="18" xfId="0" applyNumberFormat="1" applyFont="1" applyFill="1" applyBorder="1" applyAlignment="1">
      <x:alignment wrapText="1"/>
    </x:xf>
    <x:xf numFmtId="0" fontId="7" fillId="7" borderId="19" xfId="0" applyNumberFormat="1" applyFont="1" applyFill="1" applyBorder="1" applyAlignment="1">
      <x:alignment wrapText="1"/>
    </x:xf>
    <x:xf numFmtId="0" fontId="7" fillId="7" borderId="20" xfId="0" applyNumberFormat="1" applyFont="1" applyFill="1" applyBorder="1" applyAlignment="1">
      <x:alignment wrapText="1"/>
    </x:xf>
    <x:xf numFmtId="0" fontId="7" fillId="7" borderId="21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wrapText="1"/>
    </x:xf>
    <x:xf numFmtId="0" fontId="7" fillId="7" borderId="22" xfId="0" applyNumberFormat="1" applyFont="1" applyFill="1" applyBorder="1" applyAlignment="1">
      <x:alignment wrapText="1"/>
    </x:xf>
    <x:xf numFmtId="0" fontId="7" fillId="7" borderId="23" xfId="0" applyNumberFormat="1" applyFont="1" applyFill="1" applyBorder="1" applyAlignment="1">
      <x:alignment wrapText="1"/>
    </x:xf>
    <x:xf numFmtId="0" fontId="7" fillId="7" borderId="24" xfId="0" applyNumberFormat="1" applyFont="1" applyFill="1" applyBorder="1" applyAlignment="1">
      <x:alignment wrapText="1"/>
    </x:xf>
    <x:xf numFmtId="0" fontId="7" fillId="7" borderId="25" xfId="0" applyNumberFormat="1" applyFont="1" applyFill="1" applyBorder="1" applyAlignment="1">
      <x:alignment wrapText="1"/>
    </x:xf>
    <x:xf numFmtId="0" fontId="7" fillId="7" borderId="18" xfId="0" applyNumberFormat="1" applyFont="1" applyFill="1" applyBorder="1" applyAlignment="1">
      <x:alignment vertical="top" wrapText="1"/>
    </x:xf>
    <x:xf numFmtId="0" fontId="7" fillId="7" borderId="19" xfId="0" applyNumberFormat="1" applyFont="1" applyFill="1" applyBorder="1" applyAlignment="1">
      <x:alignment vertical="top" wrapText="1"/>
    </x:xf>
    <x:xf numFmtId="0" fontId="7" fillId="7" borderId="20" xfId="0" applyNumberFormat="1" applyFont="1" applyFill="1" applyBorder="1" applyAlignment="1">
      <x:alignment vertical="top" wrapText="1"/>
    </x:xf>
    <x:xf numFmtId="0" fontId="7" fillId="7" borderId="21" xfId="0" applyNumberFormat="1" applyFont="1" applyFill="1" applyBorder="1" applyAlignment="1">
      <x:alignment vertical="top" wrapText="1"/>
    </x:xf>
    <x:xf numFmtId="0" fontId="7" fillId="7" borderId="0" xfId="0" applyNumberFormat="1" applyFont="1" applyFill="1" applyBorder="1" applyAlignment="1">
      <x:alignment vertical="top" wrapText="1"/>
    </x:xf>
    <x:xf numFmtId="0" fontId="7" fillId="7" borderId="22" xfId="0" applyNumberFormat="1" applyFont="1" applyFill="1" applyBorder="1" applyAlignment="1">
      <x:alignment vertical="top" wrapText="1"/>
    </x:xf>
    <x:xf numFmtId="0" fontId="7" fillId="7" borderId="23" xfId="0" applyNumberFormat="1" applyFont="1" applyFill="1" applyBorder="1" applyAlignment="1">
      <x:alignment vertical="top" wrapText="1"/>
    </x:xf>
    <x:xf numFmtId="0" fontId="7" fillId="7" borderId="24" xfId="0" applyNumberFormat="1" applyFont="1" applyFill="1" applyBorder="1" applyAlignment="1">
      <x:alignment vertical="top" wrapText="1"/>
    </x:xf>
    <x:xf numFmtId="0" fontId="7" fillId="7" borderId="25" xfId="0" applyNumberFormat="1" applyFont="1" applyFill="1" applyBorder="1" applyAlignment="1">
      <x:alignment vertical="top" wrapText="1"/>
    </x:xf>
    <x:xf numFmtId="0" fontId="8" fillId="2" borderId="0" xfId="0" applyNumberFormat="1" applyFont="1" applyFill="1" applyBorder="1" applyAlignment="1">
      <x:alignment horizontal="left" vertical="center"/>
    </x:xf>
    <x:xf numFmtId="0" fontId="9" fillId="3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/>
    <x:xf numFmtId="0" fontId="11" fillId="3" borderId="1" xfId="0" applyNumberFormat="1" applyFont="1" applyFill="1" applyBorder="1" applyAlignment="1">
      <x:alignment horizontal="center" vertical="center"/>
    </x:xf>
    <x:xf numFmtId="0" fontId="11" fillId="3" borderId="2" xfId="0" applyNumberFormat="1" applyFont="1" applyFill="1" applyBorder="1" applyAlignment="1">
      <x:alignment horizontal="center" vertical="center"/>
    </x:xf>
    <x:xf numFmtId="0" fontId="11" fillId="3" borderId="3" xfId="0" applyNumberFormat="1" applyFont="1" applyFill="1" applyBorder="1" applyAlignment="1">
      <x:alignment horizontal="center" vertical="center"/>
    </x:xf>
    <x:xf numFmtId="200" fontId="12" fillId="4" borderId="4" xfId="0" applyNumberFormat="1" applyFont="1" applyFill="1" applyBorder="1" applyAlignment="1">
      <x:alignment horizontal="center" vertical="center"/>
    </x:xf>
    <x:xf numFmtId="200" fontId="12" fillId="4" borderId="5" xfId="0" applyNumberFormat="1" applyFont="1" applyFill="1" applyBorder="1" applyAlignment="1">
      <x:alignment horizontal="center" vertical="center"/>
    </x:xf>
    <x:xf numFmtId="200" fontId="12" fillId="4" borderId="6" xfId="0" applyNumberFormat="1" applyFont="1" applyFill="1" applyBorder="1" applyAlignment="1">
      <x:alignment horizontal="center" vertical="center"/>
    </x:xf>
    <x:xf numFmtId="201" fontId="12" fillId="4" borderId="4" xfId="0" applyNumberFormat="1" applyFont="1" applyFill="1" applyBorder="1" applyAlignment="1">
      <x:alignment horizontal="center" vertical="center"/>
    </x:xf>
    <x:xf numFmtId="201" fontId="12" fillId="4" borderId="5" xfId="0" applyNumberFormat="1" applyFont="1" applyFill="1" applyBorder="1" applyAlignment="1">
      <x:alignment horizontal="center" vertical="center"/>
    </x:xf>
    <x:xf numFmtId="201" fontId="12" fillId="4" borderId="6" xfId="0" applyNumberFormat="1" applyFont="1" applyFill="1" applyBorder="1" applyAlignment="1">
      <x:alignment horizontal="center" vertical="center"/>
    </x:xf>
    <x:xf numFmtId="202" fontId="12" fillId="4" borderId="4" xfId="0" applyNumberFormat="1" applyFont="1" applyFill="1" applyBorder="1" applyAlignment="1">
      <x:alignment horizontal="center" vertical="center"/>
    </x:xf>
    <x:xf numFmtId="202" fontId="12" fillId="4" borderId="5" xfId="0" applyNumberFormat="1" applyFont="1" applyFill="1" applyBorder="1" applyAlignment="1">
      <x:alignment horizontal="center" vertical="center"/>
    </x:xf>
    <x:xf numFmtId="202" fontId="12" fillId="4" borderId="6" xfId="0" applyNumberFormat="1" applyFont="1" applyFill="1" applyBorder="1" applyAlignment="1">
      <x:alignment horizontal="center" vertical="center"/>
    </x:xf>
    <x:xf numFmtId="200" fontId="12" fillId="4" borderId="7" xfId="0" applyNumberFormat="1" applyFont="1" applyFill="1" applyBorder="1" applyAlignment="1">
      <x:alignment horizontal="center" vertical="center"/>
    </x:xf>
    <x:xf numFmtId="200" fontId="12" fillId="4" borderId="8" xfId="0" applyNumberFormat="1" applyFont="1" applyFill="1" applyBorder="1" applyAlignment="1">
      <x:alignment horizontal="center" vertical="center"/>
    </x:xf>
    <x:xf numFmtId="200" fontId="12" fillId="4" borderId="9" xfId="0" applyNumberFormat="1" applyFont="1" applyFill="1" applyBorder="1" applyAlignment="1">
      <x:alignment horizontal="center" vertical="center"/>
    </x:xf>
    <x:xf numFmtId="201" fontId="12" fillId="4" borderId="7" xfId="0" applyNumberFormat="1" applyFont="1" applyFill="1" applyBorder="1" applyAlignment="1">
      <x:alignment horizontal="center" vertical="center"/>
    </x:xf>
    <x:xf numFmtId="201" fontId="12" fillId="4" borderId="8" xfId="0" applyNumberFormat="1" applyFont="1" applyFill="1" applyBorder="1" applyAlignment="1">
      <x:alignment horizontal="center" vertical="center"/>
    </x:xf>
    <x:xf numFmtId="201" fontId="12" fillId="4" borderId="9" xfId="0" applyNumberFormat="1" applyFont="1" applyFill="1" applyBorder="1" applyAlignment="1">
      <x:alignment horizontal="center" vertical="center"/>
    </x:xf>
    <x:xf numFmtId="202" fontId="12" fillId="4" borderId="7" xfId="0" applyNumberFormat="1" applyFont="1" applyFill="1" applyBorder="1" applyAlignment="1">
      <x:alignment horizontal="center" vertical="center"/>
    </x:xf>
    <x:xf numFmtId="202" fontId="12" fillId="4" borderId="8" xfId="0" applyNumberFormat="1" applyFont="1" applyFill="1" applyBorder="1" applyAlignment="1">
      <x:alignment horizontal="center" vertical="center"/>
    </x:xf>
    <x:xf numFmtId="202" fontId="12" fillId="4" borderId="9" xfId="0" applyNumberFormat="1" applyFont="1" applyFill="1" applyBorder="1" applyAlignment="1">
      <x:alignment horizontal="center" vertical="center"/>
    </x:xf>
    <x:xf numFmtId="0" fontId="13" fillId="2" borderId="0" xfId="0" applyNumberFormat="1" applyFont="1" applyFill="1" applyBorder="1"/>
    <x:xf numFmtId="0" fontId="13" fillId="6" borderId="0" xfId="0" applyNumberFormat="1" applyFont="1" applyFill="1" applyBorder="1"/>
    <x:xf numFmtId="0" fontId="14" fillId="5" borderId="10" xfId="0" applyNumberFormat="1" applyFont="1" applyFill="1" applyBorder="1" applyAlignment="1">
      <x:alignment vertical="top" wrapText="1"/>
    </x:xf>
    <x:xf numFmtId="0" fontId="14" fillId="5" borderId="11" xfId="0" applyNumberFormat="1" applyFont="1" applyFill="1" applyBorder="1" applyAlignment="1">
      <x:alignment vertical="top" wrapText="1"/>
    </x:xf>
    <x:xf numFmtId="0" fontId="14" fillId="5" borderId="12" xfId="0" applyNumberFormat="1" applyFont="1" applyFill="1" applyBorder="1" applyAlignment="1">
      <x:alignment vertical="top" wrapText="1"/>
    </x:xf>
    <x:xf numFmtId="0" fontId="15" fillId="7" borderId="18" xfId="0" applyNumberFormat="1" applyFont="1" applyFill="1" applyBorder="1" applyAlignment="1">
      <x:alignment vertical="top" wrapText="1"/>
    </x:xf>
    <x:xf numFmtId="0" fontId="15" fillId="7" borderId="19" xfId="0" applyNumberFormat="1" applyFont="1" applyFill="1" applyBorder="1" applyAlignment="1">
      <x:alignment vertical="top" wrapText="1"/>
    </x:xf>
    <x:xf numFmtId="0" fontId="15" fillId="7" borderId="20" xfId="0" applyNumberFormat="1" applyFont="1" applyFill="1" applyBorder="1" applyAlignment="1">
      <x:alignment vertical="top" wrapText="1"/>
    </x:xf>
    <x:xf numFmtId="0" fontId="14" fillId="5" borderId="13" xfId="0" applyNumberFormat="1" applyFont="1" applyFill="1" applyBorder="1" applyAlignment="1">
      <x:alignment vertical="top" wrapText="1"/>
    </x:xf>
    <x:xf numFmtId="0" fontId="14" fillId="5" borderId="0" xfId="0" applyNumberFormat="1" applyFont="1" applyFill="1" applyBorder="1" applyAlignment="1">
      <x:alignment vertical="top" wrapText="1"/>
    </x:xf>
    <x:xf numFmtId="0" fontId="14" fillId="5" borderId="14" xfId="0" applyNumberFormat="1" applyFont="1" applyFill="1" applyBorder="1" applyAlignment="1">
      <x:alignment vertical="top" wrapText="1"/>
    </x:xf>
    <x:xf numFmtId="0" fontId="15" fillId="7" borderId="21" xfId="0" applyNumberFormat="1" applyFont="1" applyFill="1" applyBorder="1" applyAlignment="1">
      <x:alignment vertical="top" wrapText="1"/>
    </x:xf>
    <x:xf numFmtId="0" fontId="15" fillId="7" borderId="0" xfId="0" applyNumberFormat="1" applyFont="1" applyFill="1" applyBorder="1" applyAlignment="1">
      <x:alignment vertical="top" wrapText="1"/>
    </x:xf>
    <x:xf numFmtId="0" fontId="15" fillId="7" borderId="22" xfId="0" applyNumberFormat="1" applyFont="1" applyFill="1" applyBorder="1" applyAlignment="1">
      <x:alignment vertical="top" wrapText="1"/>
    </x:xf>
    <x:xf numFmtId="0" fontId="14" fillId="5" borderId="15" xfId="0" applyNumberFormat="1" applyFont="1" applyFill="1" applyBorder="1" applyAlignment="1">
      <x:alignment vertical="top" wrapText="1"/>
    </x:xf>
    <x:xf numFmtId="0" fontId="14" fillId="5" borderId="16" xfId="0" applyNumberFormat="1" applyFont="1" applyFill="1" applyBorder="1" applyAlignment="1">
      <x:alignment vertical="top" wrapText="1"/>
    </x:xf>
    <x:xf numFmtId="0" fontId="14" fillId="5" borderId="17" xfId="0" applyNumberFormat="1" applyFont="1" applyFill="1" applyBorder="1" applyAlignment="1">
      <x:alignment vertical="top" wrapText="1"/>
    </x:xf>
    <x:xf numFmtId="0" fontId="15" fillId="7" borderId="23" xfId="0" applyNumberFormat="1" applyFont="1" applyFill="1" applyBorder="1" applyAlignment="1">
      <x:alignment vertical="top" wrapText="1"/>
    </x:xf>
    <x:xf numFmtId="0" fontId="15" fillId="7" borderId="24" xfId="0" applyNumberFormat="1" applyFont="1" applyFill="1" applyBorder="1" applyAlignment="1">
      <x:alignment vertical="top" wrapText="1"/>
    </x:xf>
    <x:xf numFmtId="0" fontId="15" fillId="7" borderId="25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14" xfId="0" applyNumberFormat="1" applyFont="1" applyFill="1" applyBorder="1"/>
    <x:xf numFmtId="0" fontId="5" fillId="8" borderId="26" xfId="0" applyNumberFormat="1" applyFont="1" applyFill="1" applyBorder="1"/>
    <x:xf numFmtId="0" fontId="5" fillId="8" borderId="13" xfId="0" applyNumberFormat="1" applyFont="1" applyFill="1" applyBorder="1"/>
    <x:xf numFmtId="0" fontId="5" fillId="8" borderId="14" xfId="0" applyNumberFormat="1" applyFont="1" applyFill="1" applyBorder="1" applyAlignment="1">
      <x:alignment wrapText="1"/>
    </x:xf>
    <x:xf numFmtId="0" fontId="5" fillId="8" borderId="26" xfId="0" applyNumberFormat="1" applyFont="1" applyFill="1" applyBorder="1" applyAlignment="1">
      <x:alignment wrapText="1"/>
    </x:xf>
    <x:xf numFmtId="0" fontId="5" fillId="8" borderId="13" xfId="0" applyNumberFormat="1" applyFont="1" applyFill="1" applyBorder="1" applyAlignment="1">
      <x:alignment wrapText="1"/>
    </x:xf>
    <x:xf numFmtId="0" fontId="5" fillId="8" borderId="14" xfId="0" applyNumberFormat="1" applyFont="1" applyFill="1" applyBorder="1" applyAlignment="1">
      <x:alignment horizontal="center" wrapText="1"/>
    </x:xf>
    <x:xf numFmtId="0" fontId="5" fillId="8" borderId="26" xfId="0" applyNumberFormat="1" applyFont="1" applyFill="1" applyBorder="1" applyAlignment="1">
      <x:alignment horizontal="center" wrapText="1"/>
    </x:xf>
    <x:xf numFmtId="0" fontId="5" fillId="8" borderId="13" xfId="0" applyNumberFormat="1" applyFont="1" applyFill="1" applyBorder="1" applyAlignment="1">
      <x:alignment horizontal="center" wrapText="1"/>
    </x:xf>
    <x:xf numFmtId="0" fontId="5" fillId="8" borderId="14" xfId="0" applyNumberFormat="1" applyFont="1" applyFill="1" applyBorder="1" applyAlignment="1">
      <x:alignment horizontal="center" vertical="center" wrapText="1"/>
    </x:xf>
    <x:xf numFmtId="0" fontId="5" fillId="8" borderId="26" xfId="0" applyNumberFormat="1" applyFont="1" applyFill="1" applyBorder="1" applyAlignment="1">
      <x:alignment horizontal="center" vertical="center" wrapText="1"/>
    </x:xf>
    <x:xf numFmtId="0" fontId="5" fillId="8" borderId="13" xfId="0" applyNumberFormat="1" applyFont="1" applyFill="1" applyBorder="1" applyAlignment="1">
      <x:alignment horizontal="center" vertical="center" wrapText="1"/>
    </x:xf>
    <x:xf numFmtId="0" fontId="16" fillId="4" borderId="0" xfId="0" applyNumberFormat="1" applyFont="1" applyFill="1" applyBorder="1"/>
    <x:xf numFmtId="0" fontId="16" fillId="4" borderId="27" xfId="0" applyNumberFormat="1" applyFont="1" applyFill="1" applyBorder="1"/>
    <x:xf numFmtId="0" fontId="16" fillId="4" borderId="28" xfId="0" applyNumberFormat="1" applyFont="1" applyFill="1" applyBorder="1"/>
    <x:xf numFmtId="0" fontId="16" fillId="4" borderId="29" xfId="0" applyNumberFormat="1" applyFont="1" applyFill="1" applyBorder="1"/>
    <x:xf numFmtId="0" fontId="16" fillId="4" borderId="27" xfId="0" applyNumberFormat="1" applyFont="1" applyFill="1" applyBorder="1" applyAlignment="1">
      <x:alignment horizontal="center"/>
    </x:xf>
    <x:xf numFmtId="0" fontId="16" fillId="4" borderId="28" xfId="0" applyNumberFormat="1" applyFont="1" applyFill="1" applyBorder="1" applyAlignment="1">
      <x:alignment horizontal="center"/>
    </x:xf>
    <x:xf numFmtId="0" fontId="16" fillId="4" borderId="29" xfId="0" applyNumberFormat="1" applyFont="1" applyFill="1" applyBorder="1" applyAlignment="1">
      <x:alignment horizontal="center"/>
    </x:xf>
    <x:xf numFmtId="200" fontId="16" fillId="4" borderId="27" xfId="0" applyNumberFormat="1" applyFont="1" applyFill="1" applyBorder="1"/>
    <x:xf numFmtId="200" fontId="16" fillId="4" borderId="28" xfId="0" applyNumberFormat="1" applyFont="1" applyFill="1" applyBorder="1"/>
    <x:xf numFmtId="200" fontId="16" fillId="4" borderId="29" xfId="0" applyNumberFormat="1" applyFont="1" applyFill="1" applyBorder="1"/>
    <x:xf numFmtId="201" fontId="16" fillId="4" borderId="27" xfId="0" applyNumberFormat="1" applyFont="1" applyFill="1" applyBorder="1"/>
    <x:xf numFmtId="201" fontId="16" fillId="4" borderId="28" xfId="0" applyNumberFormat="1" applyFont="1" applyFill="1" applyBorder="1"/>
    <x:xf numFmtId="201" fontId="16" fillId="4" borderId="29" xfId="0" applyNumberFormat="1" applyFont="1" applyFill="1" applyBorder="1"/>
    <x:xf numFmtId="202" fontId="16" fillId="4" borderId="27" xfId="0" applyNumberFormat="1" applyFont="1" applyFill="1" applyBorder="1"/>
    <x:xf numFmtId="202" fontId="16" fillId="4" borderId="28" xfId="0" applyNumberFormat="1" applyFont="1" applyFill="1" applyBorder="1"/>
    <x:xf numFmtId="202" fontId="16" fillId="4" borderId="29" xfId="0" applyNumberFormat="1" applyFont="1" applyFill="1" applyBorder="1"/>
    <x:xf numFmtId="203" fontId="16" fillId="4" borderId="27" xfId="0" applyNumberFormat="1" applyFont="1" applyFill="1" applyBorder="1"/>
    <x:xf numFmtId="203" fontId="16" fillId="4" borderId="28" xfId="0" applyNumberFormat="1" applyFont="1" applyFill="1" applyBorder="1"/>
    <x:xf numFmtId="203" fontId="16" fillId="4" borderId="29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8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horizontal="center" wrapText="1"/>
    </x:xf>
    <x:xf numFmtId="0" fontId="5" fillId="8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" fillId="4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" fillId="4" borderId="27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" fillId="4" borderId="2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" fillId="4" borderId="29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4" fontId="16" fillId="4" borderId="27" xfId="0" applyNumberFormat="1" applyFont="1" applyFill="1" applyBorder="1"/>
    <x:xf numFmtId="204" fontId="16" fillId="4" borderId="28" xfId="0" applyNumberFormat="1" applyFont="1" applyFill="1" applyBorder="1"/>
    <x:xf numFmtId="204" fontId="16" fillId="4" borderId="29" xfId="0" applyNumberFormat="1" applyFont="1" applyFill="1" applyBorder="1"/>
    <x:xf numFmtId="0" fontId="13" fillId="8" borderId="14" xfId="0" applyNumberFormat="1" applyFont="1" applyFill="1" applyBorder="1" applyAlignment="1">
      <x:alignment horizontal="center" vertical="center" wrapText="1"/>
    </x:xf>
    <x:xf numFmtId="0" fontId="13" fillId="8" borderId="26" xfId="0" applyNumberFormat="1" applyFont="1" applyFill="1" applyBorder="1" applyAlignment="1">
      <x:alignment horizontal="center" vertical="center" wrapText="1"/>
    </x:xf>
    <x:xf numFmtId="0" fontId="13" fillId="8" borderId="13" xfId="0" applyNumberFormat="1" applyFont="1" applyFill="1" applyBorder="1" applyAlignment="1">
      <x:alignment horizontal="center" vertical="center" wrapText="1"/>
    </x:xf>
    <x:xf numFmtId="0" fontId="17" fillId="4" borderId="27" xfId="0" applyNumberFormat="1" applyFont="1" applyFill="1" applyBorder="1" applyAlignment="1">
      <x:alignment horizontal="center"/>
    </x:xf>
    <x:xf numFmtId="200" fontId="17" fillId="4" borderId="27" xfId="0" applyNumberFormat="1" applyFont="1" applyFill="1" applyBorder="1"/>
    <x:xf numFmtId="201" fontId="17" fillId="4" borderId="27" xfId="0" applyNumberFormat="1" applyFont="1" applyFill="1" applyBorder="1"/>
    <x:xf numFmtId="202" fontId="17" fillId="4" borderId="27" xfId="0" applyNumberFormat="1" applyFont="1" applyFill="1" applyBorder="1"/>
    <x:xf numFmtId="203" fontId="17" fillId="4" borderId="27" xfId="0" applyNumberFormat="1" applyFont="1" applyFill="1" applyBorder="1"/>
    <x:xf numFmtId="0" fontId="17" fillId="4" borderId="28" xfId="0" applyNumberFormat="1" applyFont="1" applyFill="1" applyBorder="1" applyAlignment="1">
      <x:alignment horizontal="center"/>
    </x:xf>
    <x:xf numFmtId="200" fontId="17" fillId="4" borderId="28" xfId="0" applyNumberFormat="1" applyFont="1" applyFill="1" applyBorder="1"/>
    <x:xf numFmtId="201" fontId="17" fillId="4" borderId="28" xfId="0" applyNumberFormat="1" applyFont="1" applyFill="1" applyBorder="1"/>
    <x:xf numFmtId="202" fontId="17" fillId="4" borderId="28" xfId="0" applyNumberFormat="1" applyFont="1" applyFill="1" applyBorder="1"/>
    <x:xf numFmtId="203" fontId="17" fillId="4" borderId="28" xfId="0" applyNumberFormat="1" applyFont="1" applyFill="1" applyBorder="1"/>
    <x:xf numFmtId="0" fontId="17" fillId="4" borderId="29" xfId="0" applyNumberFormat="1" applyFont="1" applyFill="1" applyBorder="1" applyAlignment="1">
      <x:alignment horizontal="center"/>
    </x:xf>
    <x:xf numFmtId="200" fontId="17" fillId="4" borderId="29" xfId="0" applyNumberFormat="1" applyFont="1" applyFill="1" applyBorder="1"/>
    <x:xf numFmtId="201" fontId="17" fillId="4" borderId="29" xfId="0" applyNumberFormat="1" applyFont="1" applyFill="1" applyBorder="1"/>
    <x:xf numFmtId="202" fontId="17" fillId="4" borderId="29" xfId="0" applyNumberFormat="1" applyFont="1" applyFill="1" applyBorder="1"/>
    <x:xf numFmtId="203" fontId="17" fillId="4" borderId="29" xfId="0" applyNumberFormat="1" applyFont="1" applyFill="1" applyBorder="1"/>
    <x:xf numFmtId="0" fontId="17" fillId="4" borderId="27" xfId="0" applyNumberFormat="1" applyFont="1" applyFill="1" applyBorder="1"/>
    <x:xf numFmtId="0" fontId="17" fillId="4" borderId="28" xfId="0" applyNumberFormat="1" applyFont="1" applyFill="1" applyBorder="1"/>
    <x:xf numFmtId="0" fontId="17" fillId="4" borderId="29" xfId="0" applyNumberFormat="1" applyFont="1" applyFill="1" applyBorder="1"/>
    <x:xf numFmtId="0" fontId="13" fillId="8" borderId="0" xfId="0" applyNumberFormat="1" applyFont="1" applyFill="1" applyBorder="1" applyAlignment="1">
      <x:alignment horizontal="center" vertical="center" wrapText="1"/>
    </x:xf>
    <x:xf numFmtId="0" fontId="17" fillId="4" borderId="27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4" fontId="17" fillId="4" borderId="27" xfId="0" applyNumberFormat="1" applyFont="1" applyFill="1" applyBorder="1"/>
    <x:xf numFmtId="0" fontId="17" fillId="4" borderId="2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4" fontId="17" fillId="4" borderId="28" xfId="0" applyNumberFormat="1" applyFont="1" applyFill="1" applyBorder="1"/>
    <x:xf numFmtId="0" fontId="17" fillId="4" borderId="29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4" fontId="17" fillId="4" borderId="29" xfId="0" applyNumberFormat="1" applyFont="1" applyFill="1" applyBorder="1"/>
  </x:cellXfs>
  <x:cellStyles count="1">
    <x:cellStyle name="Normal" xfId="0"/>
  </x:cellStyles>
  <x:dxfs count="3">
    <x:dxf>
      <x:font>
        <x:b/>
        <x:color rgb="FFC62828"/>
      </x:font>
      <x:fill>
        <x:patternFill patternType="solid">
          <x:bgColor rgb="FFFDECEC"/>
        </x:patternFill>
      </x:fill>
    </x:dxf>
    <x:dxf>
      <x:font>
        <x:color rgb="FF2E7D32"/>
      </x:font>
      <x:fill>
        <x:patternFill patternType="solid">
          <x:bgColor rgb="FFE2F0D9"/>
        </x:patternFill>
      </x:fill>
    </x:dxf>
    <x:dxf>
      <x:font>
        <x:color rgb="FFC62828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f2771b58f14f8f" /><Relationship Type="http://schemas.openxmlformats.org/officeDocument/2006/relationships/theme" Target="/xl/theme/theme1.xml" Id="Rd596a7ec408047a1" /><Relationship Type="http://schemas.microsoft.com/office/2022/11/relationships/FeaturePropertyBag" Target="/xl/featurePropertyBag/featurePropertyBag.xml" Id="Rd140b9e4ea284639" /><Relationship Type="http://schemas.openxmlformats.org/officeDocument/2006/relationships/sharedStrings" Target="/xl/sharedStrings.xml" Id="R235d9a59e40e40c7" /><Relationship Type="http://schemas.openxmlformats.org/officeDocument/2006/relationships/worksheet" Target="/xl/worksheets/sheet1.xml" Id="R053157e73ea549a8" /><Relationship Type="http://schemas.openxmlformats.org/officeDocument/2006/relationships/worksheet" Target="/xl/worksheets/sheet2.xml" Id="R9ff6a32011484eec" /><Relationship Type="http://schemas.openxmlformats.org/officeDocument/2006/relationships/worksheet" Target="/xl/worksheets/sheet3.xml" Id="R701e5f61e6f34bac" /><Relationship Type="http://schemas.openxmlformats.org/officeDocument/2006/relationships/worksheet" Target="/xl/worksheets/sheet4.xml" Id="R133c5823c8ed4c29" /><Relationship Type="http://schemas.openxmlformats.org/officeDocument/2006/relationships/worksheet" Target="/xl/worksheets/sheet5.xml" Id="Rd6f8631ddcd04ca6" /><Relationship Type="http://schemas.microsoft.com/office/2017/10/relationships/person" Target="/xl/persons/person.xml" Id="R9b4462149612435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8ed42da44ae44d9" /><Relationship Type="http://schemas.openxmlformats.org/officeDocument/2006/relationships/chart" Target="/xl/drawings/charts/chart2.xml" Id="Ra8dae0d6f671488b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35fa300c5a0c4893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087bef5b7104418c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07525e55da4843c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Goles por partido</a:t>
            </a:r>
          </a:p>
        </c:rich>
      </c:tx>
    </c:title>
    <c:plotArea>
      <c:lineChart>
        <c:grouping val="standard"/>
        <c:ser>
          <c:idx val="0"/>
          <c:order val="0"/>
          <c:tx>
            <c:v>Goles por partido</c:v>
          </c:tx>
          <c:marker>
            <c:symbol val="none"/>
          </c:marker>
          <c:cat>
            <c:strRef>
              <c:f>'Temporadas'!$A$16:$A$25</c:f>
              <c:strCache>
                <c:ptCount val="0"/>
              </c:strCache>
            </c:strRef>
          </c:cat>
          <c:val>
            <c:numRef>
              <c:f>'Temporadas'!$B$16:$B$25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Distribución 1X2</a:t>
            </a:r>
          </a:p>
        </c:rich>
      </c:tx>
    </c:title>
    <c:plotArea>
      <c:lineChart>
        <c:grouping val="standard"/>
        <c:ser>
          <c:idx val="0"/>
          <c:order val="0"/>
          <c:tx>
            <c:v>Victoria local</c:v>
          </c:tx>
          <c:marker>
            <c:symbol val="none"/>
          </c:marker>
          <c:cat>
            <c:strRef>
              <c:f>'Temporadas'!$D$16:$D$25</c:f>
              <c:strCache>
                <c:ptCount val="0"/>
              </c:strCache>
            </c:strRef>
          </c:cat>
          <c:val>
            <c:numRef>
              <c:f>'Temporadas'!$E$16:$E$25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Empate</c:v>
          </c:tx>
          <c:marker>
            <c:symbol val="none"/>
          </c:marker>
          <c:cat>
            <c:strRef>
              <c:f>'Temporadas'!$D$16:$D$25</c:f>
              <c:strCache>
                <c:ptCount val="0"/>
              </c:strCache>
            </c:strRef>
          </c:cat>
          <c:val>
            <c:numRef>
              <c:f>'Temporadas'!$F$16:$F$25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Victoria visitante</c:v>
          </c:tx>
          <c:marker>
            <c:symbol val="none"/>
          </c:marker>
          <c:cat>
            <c:strRef>
              <c:f>'Temporadas'!$D$16:$D$25</c:f>
              <c:strCache>
                <c:ptCount val="0"/>
              </c:strCache>
            </c:strRef>
          </c:cat>
          <c:val>
            <c:numRef>
              <c:f>'Temporadas'!$G$16:$G$25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Puntos tras ascender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Puntos</c:v>
          </c:tx>
          <c:cat>
            <c:strRef>
              <c:f>'Ascendidos'!$Q$32:$Q$58</c:f>
              <c:strCache>
                <c:ptCount val="0"/>
              </c:strCache>
            </c:strRef>
          </c:cat>
          <c:val>
            <c:numRef>
              <c:f>'Ascendidos'!$R$32:$R$58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ROI de apostar siempre al favorito</a:t>
            </a:r>
          </a:p>
        </c:rich>
      </c:tx>
    </c:title>
    <c:plotArea>
      <c:lineChart>
        <c:grouping val="standard"/>
        <c:ser>
          <c:idx val="0"/>
          <c:order val="0"/>
          <c:tx>
            <c:v>ROI</c:v>
          </c:tx>
          <c:marker>
            <c:symbol val="none"/>
          </c:marker>
          <c:cat>
            <c:strRef>
              <c:f>'Mercado'!$H$21:$H$30</c:f>
              <c:strCache>
                <c:ptCount val="0"/>
              </c:strCache>
            </c:strRef>
          </c:cat>
          <c:val>
            <c:numRef>
              <c:f>'Mercado'!$I$21:$I$30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Asociación con el resultado (entrenamiento)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Eta²</c:v>
          </c:tx>
          <c:cat>
            <c:strRef>
              <c:f>'Variables'!$L$26:$L$40</c:f>
              <c:strCache>
                <c:ptCount val="0"/>
              </c:strCache>
            </c:strRef>
          </c:cat>
          <c:val>
            <c:numRef>
              <c:f>'Variables'!$M$26:$M$40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16</xdr:col>
      <xdr:colOff>0</xdr:colOff>
      <xdr:row>1</xdr:row>
      <xdr:rowOff>0</xdr:rowOff>
    </xdr:from>
    <xdr:to>
      <xdr:col>24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8ed42da44ae44d9"/>
        </a:graphicData>
      </a:graphic>
    </xdr:graphicFrame>
    <xdr:clientData/>
  </xdr:twoCellAnchor>
  <xdr:twoCellAnchor>
    <xdr:from>
      <xdr:col>16</xdr:col>
      <xdr:colOff>0</xdr:colOff>
      <xdr:row>16</xdr:row>
      <xdr:rowOff>0</xdr:rowOff>
    </xdr:from>
    <xdr:to>
      <xdr:col>24</xdr:col>
      <xdr:colOff>0</xdr:colOff>
      <xdr:row>32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8dae0d6f671488b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16</xdr:col>
      <xdr:colOff>0</xdr:colOff>
      <xdr:row>1</xdr:row>
      <xdr:rowOff>0</xdr:rowOff>
    </xdr:from>
    <xdr:to>
      <xdr:col>24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5fa300c5a0c489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7</xdr:col>
      <xdr:colOff>0</xdr:colOff>
      <xdr:row>1</xdr:row>
      <xdr:rowOff>0</xdr:rowOff>
    </xdr:from>
    <xdr:to>
      <xdr:col>15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87bef5b7104418c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11</xdr:col>
      <xdr:colOff>0</xdr:colOff>
      <xdr:row>1</xdr:row>
      <xdr:rowOff>0</xdr:rowOff>
    </xdr:from>
    <xdr:to>
      <xdr:col>19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7525e55da4843cf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persons/person.xml><?xml version="1.0" encoding="utf-8"?>
<xltc:personList xmlns:xltc="http://schemas.microsoft.com/office/spreadsheetml/2018/threadedcomments">
  <xltc:person displayName="Josue" id="{E29F94B5-45EC-491C-BFEC-B72BD12D561D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J10" dT="2026-07-23T19:38:25.39" personId="{E29F94B5-45EC-491C-BFEC-B72BD12D561D}" id="{157B945C-1F24-188F-9B5C-C3B53C1714EC}">
    <xltc:text>El ROI se calcula con una unidad apostada al favorito de cada partido, sin comisiones adicionales.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D2" dT="2026-07-23T19:38:25.391" personId="{E29F94B5-45EC-491C-BFEC-B72BD12D561D}" id="{23A6307C-0EA6-C23C-917B-1C136ED14C64}">
    <xltc:text>Eta cuadrado se calcula únicamente con 2016/17–2022/23 para no usar validación o prueba en la exploración de variables.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2e5e66aeae2c43e7" /><Relationship Type="http://schemas.openxmlformats.org/officeDocument/2006/relationships/vmlDrawing" Target="/xl/drawings/vmldrawing.vml" Id="Rdd435a53fea84521" /><Relationship Type="http://schemas.microsoft.com/office/2017/10/relationships/threadedComment" Target="/xl/threadedcomments/threadedcomment.xml" Id="R0f78c61d95e8410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765f1a840105490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5e17fbe5b1a443a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faf9aefef41c459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2.xml" Id="Rbfe2eba91b214285" /><Relationship Type="http://schemas.openxmlformats.org/officeDocument/2006/relationships/vmlDrawing" Target="/xl/drawings/vmldrawing2.vml" Id="R2988507b0d8040ac" /><Relationship Type="http://schemas.microsoft.com/office/2017/10/relationships/threadedComment" Target="/xl/threadedcomments/threadedcomment2.xml" Id="R27448cabc5244ee2" /><Relationship Type="http://schemas.openxmlformats.org/officeDocument/2006/relationships/drawing" Target="/xl/drawings/drawing4.xml" Id="Re360e6161bc0482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 ht="34" customHeight="1">
      <x:c r="A1" s="139" t="str">
        <x:v>LaLiga AI Predictor — Dashboard EDA</x:v>
      </x:c>
      <x:c r="B1" s="139" t="str">
        <x:v>LaLiga AI Predictor — Dashboard EDA</x:v>
      </x:c>
      <x:c r="C1" s="139" t="str">
        <x:v>LaLiga AI Predictor — Dashboard EDA</x:v>
      </x:c>
      <x:c r="D1" s="139" t="str">
        <x:v>LaLiga AI Predictor — Dashboard EDA</x:v>
      </x:c>
      <x:c r="E1" s="139" t="str">
        <x:v>LaLiga AI Predictor — Dashboard EDA</x:v>
      </x:c>
      <x:c r="F1" s="139" t="str">
        <x:v>LaLiga AI Predictor — Dashboard EDA</x:v>
      </x:c>
      <x:c r="G1" s="139" t="str">
        <x:v>LaLiga AI Predictor — Dashboard EDA</x:v>
      </x:c>
      <x:c r="H1" s="139" t="str">
        <x:v>LaLiga AI Predictor — Dashboard EDA</x:v>
      </x:c>
      <x:c r="I1" s="139" t="str">
        <x:v>LaLiga AI Predictor — Dashboard EDA</x:v>
      </x:c>
      <x:c r="J1" s="139" t="str">
        <x:v>LaLiga AI Predictor — Dashboard EDA</x:v>
      </x:c>
      <x:c r="K1" s="139" t="str">
        <x:v>LaLiga AI Predictor — Dashboard EDA</x:v>
      </x:c>
      <x:c r="L1" s="139" t="str">
        <x:v>LaLiga AI Predictor — Dashboard EDA</x:v>
      </x:c>
    </x:row>
    <x:row r="2" ht="34" customHeight="1">
      <x:c r="A2" s="139" t="str">
        <x:v>LaLiga AI Predictor — Dashboard EDA</x:v>
      </x:c>
      <x:c r="B2" s="139" t="str">
        <x:v>LaLiga AI Predictor — Dashboard EDA</x:v>
      </x:c>
      <x:c r="C2" s="139" t="str">
        <x:v>LaLiga AI Predictor — Dashboard EDA</x:v>
      </x:c>
      <x:c r="D2" s="139" t="str">
        <x:v>LaLiga AI Predictor — Dashboard EDA</x:v>
      </x:c>
      <x:c r="E2" s="139" t="str">
        <x:v>LaLiga AI Predictor — Dashboard EDA</x:v>
      </x:c>
      <x:c r="F2" s="139" t="str">
        <x:v>LaLiga AI Predictor — Dashboard EDA</x:v>
      </x:c>
      <x:c r="G2" s="139" t="str">
        <x:v>LaLiga AI Predictor — Dashboard EDA</x:v>
      </x:c>
      <x:c r="H2" s="139" t="str">
        <x:v>LaLiga AI Predictor — Dashboard EDA</x:v>
      </x:c>
      <x:c r="I2" s="139" t="str">
        <x:v>LaLiga AI Predictor — Dashboard EDA</x:v>
      </x:c>
      <x:c r="J2" s="139" t="str">
        <x:v>LaLiga AI Predictor — Dashboard EDA</x:v>
      </x:c>
      <x:c r="K2" s="139" t="str">
        <x:v>LaLiga AI Predictor — Dashboard EDA</x:v>
      </x:c>
      <x:c r="L2" s="139" t="str">
        <x:v>LaLiga AI Predictor — Dashboard EDA</x:v>
      </x:c>
    </x:row>
    <x:row r="3" ht="24" customHeight="1">
      <x:c r="A3" s="140" t="str">
        <x:v>LaLiga 2016/17–2025/26 · asociaciones de variables calculadas solo con entrenamiento</x:v>
      </x:c>
      <x:c r="B3" s="140" t="str">
        <x:v>LaLiga 2016/17–2025/26 · asociaciones de variables calculadas solo con entrenamiento</x:v>
      </x:c>
      <x:c r="C3" s="140" t="str">
        <x:v>LaLiga 2016/17–2025/26 · asociaciones de variables calculadas solo con entrenamiento</x:v>
      </x:c>
      <x:c r="D3" s="140" t="str">
        <x:v>LaLiga 2016/17–2025/26 · asociaciones de variables calculadas solo con entrenamiento</x:v>
      </x:c>
      <x:c r="E3" s="140" t="str">
        <x:v>LaLiga 2016/17–2025/26 · asociaciones de variables calculadas solo con entrenamiento</x:v>
      </x:c>
      <x:c r="F3" s="140" t="str">
        <x:v>LaLiga 2016/17–2025/26 · asociaciones de variables calculadas solo con entrenamiento</x:v>
      </x:c>
      <x:c r="G3" s="140" t="str">
        <x:v>LaLiga 2016/17–2025/26 · asociaciones de variables calculadas solo con entrenamiento</x:v>
      </x:c>
      <x:c r="H3" s="140" t="str">
        <x:v>LaLiga 2016/17–2025/26 · asociaciones de variables calculadas solo con entrenamiento</x:v>
      </x:c>
      <x:c r="I3" s="140" t="str">
        <x:v>LaLiga 2016/17–2025/26 · asociaciones de variables calculadas solo con entrenamiento</x:v>
      </x:c>
      <x:c r="J3" s="140" t="str">
        <x:v>LaLiga 2016/17–2025/26 · asociaciones de variables calculadas solo con entrenamiento</x:v>
      </x:c>
      <x:c r="K3" s="140" t="str">
        <x:v>LaLiga 2016/17–2025/26 · asociaciones de variables calculadas solo con entrenamiento</x:v>
      </x:c>
      <x:c r="L3" s="140" t="str">
        <x:v>LaLiga 2016/17–2025/26 · asociaciones de variables calculadas solo con entrenamiento</x:v>
      </x:c>
    </x:row>
    <x:row r="4">
      <x:c r="A4" s="141"/>
      <x:c r="B4" s="141"/>
      <x:c r="C4" s="141"/>
      <x:c r="D4" s="141"/>
      <x:c r="E4" s="141"/>
      <x:c r="F4" s="141"/>
      <x:c r="G4" s="141"/>
      <x:c r="H4" s="141"/>
      <x:c r="I4" s="141"/>
      <x:c r="J4" s="141"/>
      <x:c r="K4" s="141"/>
      <x:c r="L4" s="141"/>
    </x:row>
    <x:row r="5">
      <x:c r="A5" s="142" t="str">
        <x:v>Partidos</x:v>
      </x:c>
      <x:c r="B5" s="143" t="str">
        <x:v>Partidos</x:v>
      </x:c>
      <x:c r="C5" s="144" t="str">
        <x:v>Partidos</x:v>
      </x:c>
      <x:c r="D5" s="142" t="str">
        <x:v>Goles por partido</x:v>
      </x:c>
      <x:c r="E5" s="143" t="str">
        <x:v>Goles por partido</x:v>
      </x:c>
      <x:c r="F5" s="144" t="str">
        <x:v>Goles por partido</x:v>
      </x:c>
      <x:c r="G5" s="142" t="str">
        <x:v>Victoria local</x:v>
      </x:c>
      <x:c r="H5" s="143" t="str">
        <x:v>Victoria local</x:v>
      </x:c>
      <x:c r="I5" s="144" t="str">
        <x:v>Victoria local</x:v>
      </x:c>
      <x:c r="J5" s="142" t="str">
        <x:v>Supervivencia ascendidos</x:v>
      </x:c>
      <x:c r="K5" s="143" t="str">
        <x:v>Supervivencia ascendidos</x:v>
      </x:c>
      <x:c r="L5" s="144" t="str">
        <x:v>Supervivencia ascendidos</x:v>
      </x:c>
    </x:row>
    <x:row r="6">
      <x:c r="A6" s="145" t="n">
        <x:f>SUM('Temporadas'!B3:B12)</x:f>
        <x:v>3800</x:v>
      </x:c>
      <x:c r="B6" s="146"/>
      <x:c r="C6" s="147"/>
      <x:c r="D6" s="148" t="n">
        <x:f>SUM('Temporadas'!C3:C12)/SUM('Temporadas'!B3:B12)</x:f>
        <x:v>2.6184210526315788</x:v>
      </x:c>
      <x:c r="E6" s="149"/>
      <x:c r="F6" s="150"/>
      <x:c r="G6" s="151" t="n">
        <x:f>SUMPRODUCT('Temporadas'!B3:B12,'Temporadas'!J3:J12)/SUM('Temporadas'!B3:B12)</x:f>
        <x:v>0.455</x:v>
      </x:c>
      <x:c r="H6" s="152"/>
      <x:c r="I6" s="153"/>
      <x:c r="J6" s="151" t="n">
        <x:f>AVERAGE('Ascendidos'!P3:P29)</x:f>
        <x:v>0.6666666666666666</x:v>
      </x:c>
      <x:c r="K6" s="152"/>
      <x:c r="L6" s="153"/>
    </x:row>
    <x:row r="7">
      <x:c r="A7" s="154"/>
      <x:c r="B7" s="155"/>
      <x:c r="C7" s="156"/>
      <x:c r="D7" s="157"/>
      <x:c r="E7" s="158"/>
      <x:c r="F7" s="159"/>
      <x:c r="G7" s="160"/>
      <x:c r="H7" s="161"/>
      <x:c r="I7" s="162"/>
      <x:c r="J7" s="160"/>
      <x:c r="K7" s="161"/>
      <x:c r="L7" s="162"/>
    </x:row>
    <x:row r="8">
      <x:c r="A8" s="141"/>
      <x:c r="B8" s="141"/>
      <x:c r="C8" s="141"/>
      <x:c r="D8" s="141"/>
      <x:c r="E8" s="141"/>
      <x:c r="F8" s="141"/>
      <x:c r="G8" s="141"/>
      <x:c r="H8" s="141"/>
      <x:c r="I8" s="141"/>
      <x:c r="J8" s="141"/>
      <x:c r="K8" s="141"/>
      <x:c r="L8" s="141"/>
    </x:row>
    <x:row r="9">
      <x:c r="A9" s="142" t="str">
        <x:v>Empates</x:v>
      </x:c>
      <x:c r="B9" s="143" t="str">
        <x:v>Empates</x:v>
      </x:c>
      <x:c r="C9" s="144" t="str">
        <x:v>Empates</x:v>
      </x:c>
      <x:c r="D9" s="142" t="str">
        <x:v>Victoria visitante</x:v>
      </x:c>
      <x:c r="E9" s="143" t="str">
        <x:v>Victoria visitante</x:v>
      </x:c>
      <x:c r="F9" s="144" t="str">
        <x:v>Victoria visitante</x:v>
      </x:c>
      <x:c r="G9" s="142" t="str">
        <x:v>Acierto del favorito</x:v>
      </x:c>
      <x:c r="H9" s="143" t="str">
        <x:v>Acierto del favorito</x:v>
      </x:c>
      <x:c r="I9" s="144" t="str">
        <x:v>Acierto del favorito</x:v>
      </x:c>
      <x:c r="J9" s="142" t="str">
        <x:v>ROI: siempre favorito</x:v>
      </x:c>
      <x:c r="K9" s="143" t="str">
        <x:v>ROI: siempre favorito</x:v>
      </x:c>
      <x:c r="L9" s="144" t="str">
        <x:v>ROI: siempre favorito</x:v>
      </x:c>
    </x:row>
    <x:row r="10">
      <x:c r="A10" s="151" t="n">
        <x:f>SUMPRODUCT('Temporadas'!B3:B12,'Temporadas'!K3:K12)/SUM('Temporadas'!B3:B12)</x:f>
        <x:v>0.26210526315789473</x:v>
      </x:c>
      <x:c r="B10" s="152"/>
      <x:c r="C10" s="153"/>
      <x:c r="D10" s="151" t="n">
        <x:f>SUMPRODUCT('Temporadas'!B3:B12,'Temporadas'!L3:L12)/SUM('Temporadas'!B3:B12)</x:f>
        <x:v>0.28289473684210525</x:v>
      </x:c>
      <x:c r="E10" s="152"/>
      <x:c r="F10" s="153"/>
      <x:c r="G10" s="151" t="n">
        <x:f>'Mercado'!C13</x:f>
        <x:v>0.5373684210526316</x:v>
      </x:c>
      <x:c r="H10" s="152"/>
      <x:c r="I10" s="153"/>
      <x:c r="J10" s="151" t="n">
        <x:f>'Mercado'!F13</x:f>
        <x:v>-0.014886842105263164</x:v>
      </x:c>
      <x:c r="K10" s="152"/>
      <x:c r="L10" s="153"/>
    </x:row>
    <x:row r="11">
      <x:c r="A11" s="160"/>
      <x:c r="B11" s="161"/>
      <x:c r="C11" s="162"/>
      <x:c r="D11" s="160"/>
      <x:c r="E11" s="161"/>
      <x:c r="F11" s="162"/>
      <x:c r="G11" s="160"/>
      <x:c r="H11" s="161"/>
      <x:c r="I11" s="162"/>
      <x:c r="J11" s="160"/>
      <x:c r="K11" s="161"/>
      <x:c r="L11" s="162"/>
    </x:row>
    <x:row r="12">
      <x:c r="A12" s="141"/>
      <x:c r="B12" s="141"/>
      <x:c r="C12" s="141"/>
      <x:c r="D12" s="141"/>
      <x:c r="E12" s="141"/>
      <x:c r="F12" s="141"/>
      <x:c r="G12" s="141"/>
      <x:c r="H12" s="141"/>
      <x:c r="I12" s="141"/>
      <x:c r="J12" s="141"/>
      <x:c r="K12" s="141"/>
      <x:c r="L12" s="141"/>
    </x:row>
    <x:row r="13">
      <x:c r="A13" s="163" t="str">
        <x:v>Hallazgos para modelado</x:v>
      </x:c>
      <x:c r="B13" s="163" t="str">
        <x:v>Hallazgos para modelado</x:v>
      </x:c>
      <x:c r="C13" s="163" t="str">
        <x:v>Hallazgos para modelado</x:v>
      </x:c>
      <x:c r="D13" s="163" t="str">
        <x:v>Hallazgos para modelado</x:v>
      </x:c>
      <x:c r="E13" s="163" t="str">
        <x:v>Hallazgos para modelado</x:v>
      </x:c>
      <x:c r="F13" s="163" t="str">
        <x:v>Hallazgos para modelado</x:v>
      </x:c>
      <x:c r="G13" s="164" t="str">
        <x:v>Decisión para la Fase 4</x:v>
      </x:c>
      <x:c r="H13" s="164" t="str">
        <x:v>Decisión para la Fase 4</x:v>
      </x:c>
      <x:c r="I13" s="164" t="str">
        <x:v>Decisión para la Fase 4</x:v>
      </x:c>
      <x:c r="J13" s="164" t="str">
        <x:v>Decisión para la Fase 4</x:v>
      </x:c>
      <x:c r="K13" s="164" t="str">
        <x:v>Decisión para la Fase 4</x:v>
      </x:c>
      <x:c r="L13" s="164" t="str">
        <x:v>Decisión para la Fase 4</x:v>
      </x:c>
    </x:row>
    <x:row r="14" ht="22" customHeight="1">
      <x:c r="A14" s="165" t="str">
        <x:v>• Cuotas y Elo son las señales individuales más asociadas al 1X2.
• Se detectaron 24 pares de variables con |ρ| ≥ 0.90.
• La posición en Segunda tiene ausencia estructural: solo aplica a ascendidos.
• El margen de cuotas cambia fuertemente en 2025/26.
• La prueba 2025/26 no debe guiar selección ni ajuste.</x:v>
      </x:c>
      <x:c r="B14" s="166" t="str">
        <x:v>• Cuotas y Elo son las señales individuales más asociadas al 1X2.
• Se detectaron 24 pares de variables con |ρ| ≥ 0.90.
• La posición en Segunda tiene ausencia estructural: solo aplica a ascendidos.
• El margen de cuotas cambia fuertemente en 2025/26.
• La prueba 2025/26 no debe guiar selección ni ajuste.</x:v>
      </x:c>
      <x:c r="C14" s="166" t="str">
        <x:v>• Cuotas y Elo son las señales individuales más asociadas al 1X2.
• Se detectaron 24 pares de variables con |ρ| ≥ 0.90.
• La posición en Segunda tiene ausencia estructural: solo aplica a ascendidos.
• El margen de cuotas cambia fuertemente en 2025/26.
• La prueba 2025/26 no debe guiar selección ni ajuste.</x:v>
      </x:c>
      <x:c r="D14" s="166" t="str">
        <x:v>• Cuotas y Elo son las señales individuales más asociadas al 1X2.
• Se detectaron 24 pares de variables con |ρ| ≥ 0.90.
• La posición en Segunda tiene ausencia estructural: solo aplica a ascendidos.
• El margen de cuotas cambia fuertemente en 2025/26.
• La prueba 2025/26 no debe guiar selección ni ajuste.</x:v>
      </x:c>
      <x:c r="E14" s="166" t="str">
        <x:v>• Cuotas y Elo son las señales individuales más asociadas al 1X2.
• Se detectaron 24 pares de variables con |ρ| ≥ 0.90.
• La posición en Segunda tiene ausencia estructural: solo aplica a ascendidos.
• El margen de cuotas cambia fuertemente en 2025/26.
• La prueba 2025/26 no debe guiar selección ni ajuste.</x:v>
      </x:c>
      <x:c r="F14" s="167" t="str">
        <x:v>• Cuotas y Elo son las señales individuales más asociadas al 1X2.
• Se detectaron 24 pares de variables con |ρ| ≥ 0.90.
• La posición en Segunda tiene ausencia estructural: solo aplica a ascendidos.
• El margen de cuotas cambia fuertemente en 2025/26.
• La prueba 2025/26 no debe guiar selección ni ajuste.</x:v>
      </x:c>
      <x:c r="G14" s="168" t="str">
        <x:v>Comparar cuatro baselines temporales:
1. Frecuencia histórica
2. Mercado sin margen
3. Elo
4. Regresión logística multinomial
Evaluar Log Loss, Brier, Accuracy, Macro F1 y calibración.</x:v>
      </x:c>
      <x:c r="H14" s="169" t="str">
        <x:v>Comparar cuatro baselines temporales:
1. Frecuencia histórica
2. Mercado sin margen
3. Elo
4. Regresión logística multinomial
Evaluar Log Loss, Brier, Accuracy, Macro F1 y calibración.</x:v>
      </x:c>
      <x:c r="I14" s="169" t="str">
        <x:v>Comparar cuatro baselines temporales:
1. Frecuencia histórica
2. Mercado sin margen
3. Elo
4. Regresión logística multinomial
Evaluar Log Loss, Brier, Accuracy, Macro F1 y calibración.</x:v>
      </x:c>
      <x:c r="J14" s="169" t="str">
        <x:v>Comparar cuatro baselines temporales:
1. Frecuencia histórica
2. Mercado sin margen
3. Elo
4. Regresión logística multinomial
Evaluar Log Loss, Brier, Accuracy, Macro F1 y calibración.</x:v>
      </x:c>
      <x:c r="K14" s="169" t="str">
        <x:v>Comparar cuatro baselines temporales:
1. Frecuencia histórica
2. Mercado sin margen
3. Elo
4. Regresión logística multinomial
Evaluar Log Loss, Brier, Accuracy, Macro F1 y calibración.</x:v>
      </x:c>
      <x:c r="L14" s="170" t="str">
        <x:v>Comparar cuatro baselines temporales:
1. Frecuencia histórica
2. Mercado sin margen
3. Elo
4. Regresión logística multinomial
Evaluar Log Loss, Brier, Accuracy, Macro F1 y calibración.</x:v>
      </x:c>
    </x:row>
    <x:row r="15" ht="22" customHeight="1">
      <x:c r="A15" s="171" t="str">
        <x:v>• Cuotas y Elo son las señales individuales más asociadas al 1X2.
• Se detectaron 24 pares de variables con |ρ| ≥ 0.90.
• La posición en Segunda tiene ausencia estructural: solo aplica a ascendidos.
• El margen de cuotas cambia fuertemente en 2025/26.
• La prueba 2025/26 no debe guiar selección ni ajuste.</x:v>
      </x:c>
      <x:c r="B15" s="172" t="str">
        <x:v>• Cuotas y Elo son las señales individuales más asociadas al 1X2.
• Se detectaron 24 pares de variables con |ρ| ≥ 0.90.
• La posición en Segunda tiene ausencia estructural: solo aplica a ascendidos.
• El margen de cuotas cambia fuertemente en 2025/26.
• La prueba 2025/26 no debe guiar selección ni ajuste.</x:v>
      </x:c>
      <x:c r="C15" s="172" t="str">
        <x:v>• Cuotas y Elo son las señales individuales más asociadas al 1X2.
• Se detectaron 24 pares de variables con |ρ| ≥ 0.90.
• La posición en Segunda tiene ausencia estructural: solo aplica a ascendidos.
• El margen de cuotas cambia fuertemente en 2025/26.
• La prueba 2025/26 no debe guiar selección ni ajuste.</x:v>
      </x:c>
      <x:c r="D15" s="172" t="str">
        <x:v>• Cuotas y Elo son las señales individuales más asociadas al 1X2.
• Se detectaron 24 pares de variables con |ρ| ≥ 0.90.
• La posición en Segunda tiene ausencia estructural: solo aplica a ascendidos.
• El margen de cuotas cambia fuertemente en 2025/26.
• La prueba 2025/26 no debe guiar selección ni ajuste.</x:v>
      </x:c>
      <x:c r="E15" s="172" t="str">
        <x:v>• Cuotas y Elo son las señales individuales más asociadas al 1X2.
• Se detectaron 24 pares de variables con |ρ| ≥ 0.90.
• La posición en Segunda tiene ausencia estructural: solo aplica a ascendidos.
• El margen de cuotas cambia fuertemente en 2025/26.
• La prueba 2025/26 no debe guiar selección ni ajuste.</x:v>
      </x:c>
      <x:c r="F15" s="173" t="str">
        <x:v>• Cuotas y Elo son las señales individuales más asociadas al 1X2.
• Se detectaron 24 pares de variables con |ρ| ≥ 0.90.
• La posición en Segunda tiene ausencia estructural: solo aplica a ascendidos.
• El margen de cuotas cambia fuertemente en 2025/26.
• La prueba 2025/26 no debe guiar selección ni ajuste.</x:v>
      </x:c>
      <x:c r="G15" s="174" t="str">
        <x:v>Comparar cuatro baselines temporales:
1. Frecuencia histórica
2. Mercado sin margen
3. Elo
4. Regresión logística multinomial
Evaluar Log Loss, Brier, Accuracy, Macro F1 y calibración.</x:v>
      </x:c>
      <x:c r="H15" s="175" t="str">
        <x:v>Comparar cuatro baselines temporales:
1. Frecuencia histórica
2. Mercado sin margen
3. Elo
4. Regresión logística multinomial
Evaluar Log Loss, Brier, Accuracy, Macro F1 y calibración.</x:v>
      </x:c>
      <x:c r="I15" s="175" t="str">
        <x:v>Comparar cuatro baselines temporales:
1. Frecuencia histórica
2. Mercado sin margen
3. Elo
4. Regresión logística multinomial
Evaluar Log Loss, Brier, Accuracy, Macro F1 y calibración.</x:v>
      </x:c>
      <x:c r="J15" s="175" t="str">
        <x:v>Comparar cuatro baselines temporales:
1. Frecuencia histórica
2. Mercado sin margen
3. Elo
4. Regresión logística multinomial
Evaluar Log Loss, Brier, Accuracy, Macro F1 y calibración.</x:v>
      </x:c>
      <x:c r="K15" s="175" t="str">
        <x:v>Comparar cuatro baselines temporales:
1. Frecuencia histórica
2. Mercado sin margen
3. Elo
4. Regresión logística multinomial
Evaluar Log Loss, Brier, Accuracy, Macro F1 y calibración.</x:v>
      </x:c>
      <x:c r="L15" s="176" t="str">
        <x:v>Comparar cuatro baselines temporales:
1. Frecuencia histórica
2. Mercado sin margen
3. Elo
4. Regresión logística multinomial
Evaluar Log Loss, Brier, Accuracy, Macro F1 y calibración.</x:v>
      </x:c>
    </x:row>
    <x:row r="16" ht="22" customHeight="1">
      <x:c r="A16" s="171" t="str">
        <x:v>• Cuotas y Elo son las señales individuales más asociadas al 1X2.
• Se detectaron 24 pares de variables con |ρ| ≥ 0.90.
• La posición en Segunda tiene ausencia estructural: solo aplica a ascendidos.
• El margen de cuotas cambia fuertemente en 2025/26.
• La prueba 2025/26 no debe guiar selección ni ajuste.</x:v>
      </x:c>
      <x:c r="B16" s="172" t="str">
        <x:v>• Cuotas y Elo son las señales individuales más asociadas al 1X2.
• Se detectaron 24 pares de variables con |ρ| ≥ 0.90.
• La posición en Segunda tiene ausencia estructural: solo aplica a ascendidos.
• El margen de cuotas cambia fuertemente en 2025/26.
• La prueba 2025/26 no debe guiar selección ni ajuste.</x:v>
      </x:c>
      <x:c r="C16" s="172" t="str">
        <x:v>• Cuotas y Elo son las señales individuales más asociadas al 1X2.
• Se detectaron 24 pares de variables con |ρ| ≥ 0.90.
• La posición en Segunda tiene ausencia estructural: solo aplica a ascendidos.
• El margen de cuotas cambia fuertemente en 2025/26.
• La prueba 2025/26 no debe guiar selección ni ajuste.</x:v>
      </x:c>
      <x:c r="D16" s="172" t="str">
        <x:v>• Cuotas y Elo son las señales individuales más asociadas al 1X2.
• Se detectaron 24 pares de variables con |ρ| ≥ 0.90.
• La posición en Segunda tiene ausencia estructural: solo aplica a ascendidos.
• El margen de cuotas cambia fuertemente en 2025/26.
• La prueba 2025/26 no debe guiar selección ni ajuste.</x:v>
      </x:c>
      <x:c r="E16" s="172" t="str">
        <x:v>• Cuotas y Elo son las señales individuales más asociadas al 1X2.
• Se detectaron 24 pares de variables con |ρ| ≥ 0.90.
• La posición en Segunda tiene ausencia estructural: solo aplica a ascendidos.
• El margen de cuotas cambia fuertemente en 2025/26.
• La prueba 2025/26 no debe guiar selección ni ajuste.</x:v>
      </x:c>
      <x:c r="F16" s="173" t="str">
        <x:v>• Cuotas y Elo son las señales individuales más asociadas al 1X2.
• Se detectaron 24 pares de variables con |ρ| ≥ 0.90.
• La posición en Segunda tiene ausencia estructural: solo aplica a ascendidos.
• El margen de cuotas cambia fuertemente en 2025/26.
• La prueba 2025/26 no debe guiar selección ni ajuste.</x:v>
      </x:c>
      <x:c r="G16" s="174" t="str">
        <x:v>Comparar cuatro baselines temporales:
1. Frecuencia histórica
2. Mercado sin margen
3. Elo
4. Regresión logística multinomial
Evaluar Log Loss, Brier, Accuracy, Macro F1 y calibración.</x:v>
      </x:c>
      <x:c r="H16" s="175" t="str">
        <x:v>Comparar cuatro baselines temporales:
1. Frecuencia histórica
2. Mercado sin margen
3. Elo
4. Regresión logística multinomial
Evaluar Log Loss, Brier, Accuracy, Macro F1 y calibración.</x:v>
      </x:c>
      <x:c r="I16" s="175" t="str">
        <x:v>Comparar cuatro baselines temporales:
1. Frecuencia histórica
2. Mercado sin margen
3. Elo
4. Regresión logística multinomial
Evaluar Log Loss, Brier, Accuracy, Macro F1 y calibración.</x:v>
      </x:c>
      <x:c r="J16" s="175" t="str">
        <x:v>Comparar cuatro baselines temporales:
1. Frecuencia histórica
2. Mercado sin margen
3. Elo
4. Regresión logística multinomial
Evaluar Log Loss, Brier, Accuracy, Macro F1 y calibración.</x:v>
      </x:c>
      <x:c r="K16" s="175" t="str">
        <x:v>Comparar cuatro baselines temporales:
1. Frecuencia histórica
2. Mercado sin margen
3. Elo
4. Regresión logística multinomial
Evaluar Log Loss, Brier, Accuracy, Macro F1 y calibración.</x:v>
      </x:c>
      <x:c r="L16" s="176" t="str">
        <x:v>Comparar cuatro baselines temporales:
1. Frecuencia histórica
2. Mercado sin margen
3. Elo
4. Regresión logística multinomial
Evaluar Log Loss, Brier, Accuracy, Macro F1 y calibración.</x:v>
      </x:c>
    </x:row>
    <x:row r="17" ht="22" customHeight="1">
      <x:c r="A17" s="171" t="str">
        <x:v>• Cuotas y Elo son las señales individuales más asociadas al 1X2.
• Se detectaron 24 pares de variables con |ρ| ≥ 0.90.
• La posición en Segunda tiene ausencia estructural: solo aplica a ascendidos.
• El margen de cuotas cambia fuertemente en 2025/26.
• La prueba 2025/26 no debe guiar selección ni ajuste.</x:v>
      </x:c>
      <x:c r="B17" s="172" t="str">
        <x:v>• Cuotas y Elo son las señales individuales más asociadas al 1X2.
• Se detectaron 24 pares de variables con |ρ| ≥ 0.90.
• La posición en Segunda tiene ausencia estructural: solo aplica a ascendidos.
• El margen de cuotas cambia fuertemente en 2025/26.
• La prueba 2025/26 no debe guiar selección ni ajuste.</x:v>
      </x:c>
      <x:c r="C17" s="172" t="str">
        <x:v>• Cuotas y Elo son las señales individuales más asociadas al 1X2.
• Se detectaron 24 pares de variables con |ρ| ≥ 0.90.
• La posición en Segunda tiene ausencia estructural: solo aplica a ascendidos.
• El margen de cuotas cambia fuertemente en 2025/26.
• La prueba 2025/26 no debe guiar selección ni ajuste.</x:v>
      </x:c>
      <x:c r="D17" s="172" t="str">
        <x:v>• Cuotas y Elo son las señales individuales más asociadas al 1X2.
• Se detectaron 24 pares de variables con |ρ| ≥ 0.90.
• La posición en Segunda tiene ausencia estructural: solo aplica a ascendidos.
• El margen de cuotas cambia fuertemente en 2025/26.
• La prueba 2025/26 no debe guiar selección ni ajuste.</x:v>
      </x:c>
      <x:c r="E17" s="172" t="str">
        <x:v>• Cuotas y Elo son las señales individuales más asociadas al 1X2.
• Se detectaron 24 pares de variables con |ρ| ≥ 0.90.
• La posición en Segunda tiene ausencia estructural: solo aplica a ascendidos.
• El margen de cuotas cambia fuertemente en 2025/26.
• La prueba 2025/26 no debe guiar selección ni ajuste.</x:v>
      </x:c>
      <x:c r="F17" s="173" t="str">
        <x:v>• Cuotas y Elo son las señales individuales más asociadas al 1X2.
• Se detectaron 24 pares de variables con |ρ| ≥ 0.90.
• La posición en Segunda tiene ausencia estructural: solo aplica a ascendidos.
• El margen de cuotas cambia fuertemente en 2025/26.
• La prueba 2025/26 no debe guiar selección ni ajuste.</x:v>
      </x:c>
      <x:c r="G17" s="174" t="str">
        <x:v>Comparar cuatro baselines temporales:
1. Frecuencia histórica
2. Mercado sin margen
3. Elo
4. Regresión logística multinomial
Evaluar Log Loss, Brier, Accuracy, Macro F1 y calibración.</x:v>
      </x:c>
      <x:c r="H17" s="175" t="str">
        <x:v>Comparar cuatro baselines temporales:
1. Frecuencia histórica
2. Mercado sin margen
3. Elo
4. Regresión logística multinomial
Evaluar Log Loss, Brier, Accuracy, Macro F1 y calibración.</x:v>
      </x:c>
      <x:c r="I17" s="175" t="str">
        <x:v>Comparar cuatro baselines temporales:
1. Frecuencia histórica
2. Mercado sin margen
3. Elo
4. Regresión logística multinomial
Evaluar Log Loss, Brier, Accuracy, Macro F1 y calibración.</x:v>
      </x:c>
      <x:c r="J17" s="175" t="str">
        <x:v>Comparar cuatro baselines temporales:
1. Frecuencia histórica
2. Mercado sin margen
3. Elo
4. Regresión logística multinomial
Evaluar Log Loss, Brier, Accuracy, Macro F1 y calibración.</x:v>
      </x:c>
      <x:c r="K17" s="175" t="str">
        <x:v>Comparar cuatro baselines temporales:
1. Frecuencia histórica
2. Mercado sin margen
3. Elo
4. Regresión logística multinomial
Evaluar Log Loss, Brier, Accuracy, Macro F1 y calibración.</x:v>
      </x:c>
      <x:c r="L17" s="176" t="str">
        <x:v>Comparar cuatro baselines temporales:
1. Frecuencia histórica
2. Mercado sin margen
3. Elo
4. Regresión logística multinomial
Evaluar Log Loss, Brier, Accuracy, Macro F1 y calibración.</x:v>
      </x:c>
    </x:row>
    <x:row r="18" ht="22" customHeight="1">
      <x:c r="A18" s="171" t="str">
        <x:v>• Cuotas y Elo son las señales individuales más asociadas al 1X2.
• Se detectaron 24 pares de variables con |ρ| ≥ 0.90.
• La posición en Segunda tiene ausencia estructural: solo aplica a ascendidos.
• El margen de cuotas cambia fuertemente en 2025/26.
• La prueba 2025/26 no debe guiar selección ni ajuste.</x:v>
      </x:c>
      <x:c r="B18" s="172" t="str">
        <x:v>• Cuotas y Elo son las señales individuales más asociadas al 1X2.
• Se detectaron 24 pares de variables con |ρ| ≥ 0.90.
• La posición en Segunda tiene ausencia estructural: solo aplica a ascendidos.
• El margen de cuotas cambia fuertemente en 2025/26.
• La prueba 2025/26 no debe guiar selección ni ajuste.</x:v>
      </x:c>
      <x:c r="C18" s="172" t="str">
        <x:v>• Cuotas y Elo son las señales individuales más asociadas al 1X2.
• Se detectaron 24 pares de variables con |ρ| ≥ 0.90.
• La posición en Segunda tiene ausencia estructural: solo aplica a ascendidos.
• El margen de cuotas cambia fuertemente en 2025/26.
• La prueba 2025/26 no debe guiar selección ni ajuste.</x:v>
      </x:c>
      <x:c r="D18" s="172" t="str">
        <x:v>• Cuotas y Elo son las señales individuales más asociadas al 1X2.
• Se detectaron 24 pares de variables con |ρ| ≥ 0.90.
• La posición en Segunda tiene ausencia estructural: solo aplica a ascendidos.
• El margen de cuotas cambia fuertemente en 2025/26.
• La prueba 2025/26 no debe guiar selección ni ajuste.</x:v>
      </x:c>
      <x:c r="E18" s="172" t="str">
        <x:v>• Cuotas y Elo son las señales individuales más asociadas al 1X2.
• Se detectaron 24 pares de variables con |ρ| ≥ 0.90.
• La posición en Segunda tiene ausencia estructural: solo aplica a ascendidos.
• El margen de cuotas cambia fuertemente en 2025/26.
• La prueba 2025/26 no debe guiar selección ni ajuste.</x:v>
      </x:c>
      <x:c r="F18" s="173" t="str">
        <x:v>• Cuotas y Elo son las señales individuales más asociadas al 1X2.
• Se detectaron 24 pares de variables con |ρ| ≥ 0.90.
• La posición en Segunda tiene ausencia estructural: solo aplica a ascendidos.
• El margen de cuotas cambia fuertemente en 2025/26.
• La prueba 2025/26 no debe guiar selección ni ajuste.</x:v>
      </x:c>
      <x:c r="G18" s="174" t="str">
        <x:v>Comparar cuatro baselines temporales:
1. Frecuencia histórica
2. Mercado sin margen
3. Elo
4. Regresión logística multinomial
Evaluar Log Loss, Brier, Accuracy, Macro F1 y calibración.</x:v>
      </x:c>
      <x:c r="H18" s="175" t="str">
        <x:v>Comparar cuatro baselines temporales:
1. Frecuencia histórica
2. Mercado sin margen
3. Elo
4. Regresión logística multinomial
Evaluar Log Loss, Brier, Accuracy, Macro F1 y calibración.</x:v>
      </x:c>
      <x:c r="I18" s="175" t="str">
        <x:v>Comparar cuatro baselines temporales:
1. Frecuencia histórica
2. Mercado sin margen
3. Elo
4. Regresión logística multinomial
Evaluar Log Loss, Brier, Accuracy, Macro F1 y calibración.</x:v>
      </x:c>
      <x:c r="J18" s="175" t="str">
        <x:v>Comparar cuatro baselines temporales:
1. Frecuencia histórica
2. Mercado sin margen
3. Elo
4. Regresión logística multinomial
Evaluar Log Loss, Brier, Accuracy, Macro F1 y calibración.</x:v>
      </x:c>
      <x:c r="K18" s="175" t="str">
        <x:v>Comparar cuatro baselines temporales:
1. Frecuencia histórica
2. Mercado sin margen
3. Elo
4. Regresión logística multinomial
Evaluar Log Loss, Brier, Accuracy, Macro F1 y calibración.</x:v>
      </x:c>
      <x:c r="L18" s="176" t="str">
        <x:v>Comparar cuatro baselines temporales:
1. Frecuencia histórica
2. Mercado sin margen
3. Elo
4. Regresión logística multinomial
Evaluar Log Loss, Brier, Accuracy, Macro F1 y calibración.</x:v>
      </x:c>
    </x:row>
    <x:row r="19" ht="22" customHeight="1">
      <x:c r="A19" s="177" t="str">
        <x:v>• Cuotas y Elo son las señales individuales más asociadas al 1X2.
• Se detectaron 24 pares de variables con |ρ| ≥ 0.90.
• La posición en Segunda tiene ausencia estructural: solo aplica a ascendidos.
• El margen de cuotas cambia fuertemente en 2025/26.
• La prueba 2025/26 no debe guiar selección ni ajuste.</x:v>
      </x:c>
      <x:c r="B19" s="178" t="str">
        <x:v>• Cuotas y Elo son las señales individuales más asociadas al 1X2.
• Se detectaron 24 pares de variables con |ρ| ≥ 0.90.
• La posición en Segunda tiene ausencia estructural: solo aplica a ascendidos.
• El margen de cuotas cambia fuertemente en 2025/26.
• La prueba 2025/26 no debe guiar selección ni ajuste.</x:v>
      </x:c>
      <x:c r="C19" s="178" t="str">
        <x:v>• Cuotas y Elo son las señales individuales más asociadas al 1X2.
• Se detectaron 24 pares de variables con |ρ| ≥ 0.90.
• La posición en Segunda tiene ausencia estructural: solo aplica a ascendidos.
• El margen de cuotas cambia fuertemente en 2025/26.
• La prueba 2025/26 no debe guiar selección ni ajuste.</x:v>
      </x:c>
      <x:c r="D19" s="178" t="str">
        <x:v>• Cuotas y Elo son las señales individuales más asociadas al 1X2.
• Se detectaron 24 pares de variables con |ρ| ≥ 0.90.
• La posición en Segunda tiene ausencia estructural: solo aplica a ascendidos.
• El margen de cuotas cambia fuertemente en 2025/26.
• La prueba 2025/26 no debe guiar selección ni ajuste.</x:v>
      </x:c>
      <x:c r="E19" s="178" t="str">
        <x:v>• Cuotas y Elo son las señales individuales más asociadas al 1X2.
• Se detectaron 24 pares de variables con |ρ| ≥ 0.90.
• La posición en Segunda tiene ausencia estructural: solo aplica a ascendidos.
• El margen de cuotas cambia fuertemente en 2025/26.
• La prueba 2025/26 no debe guiar selección ni ajuste.</x:v>
      </x:c>
      <x:c r="F19" s="179" t="str">
        <x:v>• Cuotas y Elo son las señales individuales más asociadas al 1X2.
• Se detectaron 24 pares de variables con |ρ| ≥ 0.90.
• La posición en Segunda tiene ausencia estructural: solo aplica a ascendidos.
• El margen de cuotas cambia fuertemente en 2025/26.
• La prueba 2025/26 no debe guiar selección ni ajuste.</x:v>
      </x:c>
      <x:c r="G19" s="180" t="str">
        <x:v>Comparar cuatro baselines temporales:
1. Frecuencia histórica
2. Mercado sin margen
3. Elo
4. Regresión logística multinomial
Evaluar Log Loss, Brier, Accuracy, Macro F1 y calibración.</x:v>
      </x:c>
      <x:c r="H19" s="181" t="str">
        <x:v>Comparar cuatro baselines temporales:
1. Frecuencia histórica
2. Mercado sin margen
3. Elo
4. Regresión logística multinomial
Evaluar Log Loss, Brier, Accuracy, Macro F1 y calibración.</x:v>
      </x:c>
      <x:c r="I19" s="181" t="str">
        <x:v>Comparar cuatro baselines temporales:
1. Frecuencia histórica
2. Mercado sin margen
3. Elo
4. Regresión logística multinomial
Evaluar Log Loss, Brier, Accuracy, Macro F1 y calibración.</x:v>
      </x:c>
      <x:c r="J19" s="181" t="str">
        <x:v>Comparar cuatro baselines temporales:
1. Frecuencia histórica
2. Mercado sin margen
3. Elo
4. Regresión logística multinomial
Evaluar Log Loss, Brier, Accuracy, Macro F1 y calibración.</x:v>
      </x:c>
      <x:c r="K19" s="181" t="str">
        <x:v>Comparar cuatro baselines temporales:
1. Frecuencia histórica
2. Mercado sin margen
3. Elo
4. Regresión logística multinomial
Evaluar Log Loss, Brier, Accuracy, Macro F1 y calibración.</x:v>
      </x:c>
      <x:c r="L19" s="182" t="str">
        <x:v>Comparar cuatro baselines temporales:
1. Frecuencia histórica
2. Mercado sin margen
3. Elo
4. Regresión logística multinomial
Evaluar Log Loss, Brier, Accuracy, Macro F1 y calibración.</x:v>
      </x:c>
    </x:row>
  </x:sheetData>
  <x:mergeCells>
    <x:mergeCell ref="A1:L2"/>
    <x:mergeCell ref="A3:L3"/>
    <x:mergeCell ref="A5:C5"/>
    <x:mergeCell ref="A6:C7"/>
    <x:mergeCell ref="D5:F5"/>
    <x:mergeCell ref="D6:F7"/>
    <x:mergeCell ref="G5:I5"/>
    <x:mergeCell ref="G6:I7"/>
    <x:mergeCell ref="J5:L5"/>
    <x:mergeCell ref="J6:L7"/>
    <x:mergeCell ref="A9:C9"/>
    <x:mergeCell ref="A10:C11"/>
    <x:mergeCell ref="D9:F9"/>
    <x:mergeCell ref="D10:F11"/>
    <x:mergeCell ref="G9:I9"/>
    <x:mergeCell ref="G10:I11"/>
    <x:mergeCell ref="J9:L9"/>
    <x:mergeCell ref="J10:L11"/>
    <x:mergeCell ref="A13:F13"/>
    <x:mergeCell ref="A14:F19"/>
    <x:mergeCell ref="G13:L13"/>
    <x:mergeCell ref="G14:L19"/>
  </x:mergeCells>
  <x:conditionalFormatting sqref="J10:L11">
    <x:cfRule type="cellIs" dxfId="0" priority="1" operator="lessThan">
      <x:formula>0</x:formula>
    </x:cfRule>
  </x:conditionalFormatting>
  <x:pageMargins left="0.7" right="0.7" top="0.75" bottom="0.75" header="0.3" footer="0.3"/>
  <x:legacyDrawing xmlns:r="http://schemas.openxmlformats.org/officeDocument/2006/relationships" r:id="Rdd435a53fea84521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34" customHeight="1">
      <x:c r="A1" s="139" t="str">
        <x:v>Resultados por temporada</x:v>
      </x:c>
      <x:c r="B1" s="139" t="str">
        <x:v>Resultados por temporada</x:v>
      </x:c>
      <x:c r="C1" s="139" t="str">
        <x:v>Resultados por temporada</x:v>
      </x:c>
      <x:c r="D1" s="139" t="str">
        <x:v>Resultados por temporada</x:v>
      </x:c>
      <x:c r="E1" s="139" t="str">
        <x:v>Resultados por temporada</x:v>
      </x:c>
      <x:c r="F1" s="139" t="str">
        <x:v>Resultados por temporada</x:v>
      </x:c>
      <x:c r="G1" s="139" t="str">
        <x:v>Resultados por temporada</x:v>
      </x:c>
      <x:c r="H1" s="139" t="str">
        <x:v>Resultados por temporada</x:v>
      </x:c>
      <x:c r="I1" s="139" t="str">
        <x:v>Resultados por temporada</x:v>
      </x:c>
      <x:c r="J1" s="139" t="str">
        <x:v>Resultados por temporada</x:v>
      </x:c>
      <x:c r="K1" s="139" t="str">
        <x:v>Resultados por temporada</x:v>
      </x:c>
      <x:c r="L1" s="139" t="str">
        <x:v>Resultados por temporada</x:v>
      </x:c>
      <x:c r="M1" s="139" t="str">
        <x:v>Resultados por temporada</x:v>
      </x:c>
      <x:c r="N1" s="139" t="str">
        <x:v>Resultados por temporada</x:v>
      </x:c>
      <x:c r="O1" s="139" t="str">
        <x:v>Resultados por temporada</x:v>
      </x:c>
    </x:row>
    <x:row r="2" ht="30" customHeight="1">
      <x:c r="A2" s="228" t="str">
        <x:v>season</x:v>
      </x:c>
      <x:c r="B2" s="229" t="str">
        <x:v>matches</x:v>
      </x:c>
      <x:c r="C2" s="229" t="str">
        <x:v>goals</x:v>
      </x:c>
      <x:c r="D2" s="229" t="str">
        <x:v>goals_per_match</x:v>
      </x:c>
      <x:c r="E2" s="229" t="str">
        <x:v>home_goals_per_match</x:v>
      </x:c>
      <x:c r="F2" s="229" t="str">
        <x:v>away_goals_per_match</x:v>
      </x:c>
      <x:c r="G2" s="229" t="str">
        <x:v>home_goal_difference</x:v>
      </x:c>
      <x:c r="H2" s="229" t="str">
        <x:v>shots_per_match</x:v>
      </x:c>
      <x:c r="I2" s="229" t="str">
        <x:v>shots_on_target_per_match</x:v>
      </x:c>
      <x:c r="J2" s="229" t="str">
        <x:v>h_rate</x:v>
      </x:c>
      <x:c r="K2" s="229" t="str">
        <x:v>d_rate</x:v>
      </x:c>
      <x:c r="L2" s="229" t="str">
        <x:v>a_rate</x:v>
      </x:c>
      <x:c r="M2" s="229" t="str">
        <x:v>market_coverage</x:v>
      </x:c>
      <x:c r="N2" s="229" t="str">
        <x:v>average_overround</x:v>
      </x:c>
      <x:c r="O2" s="230" t="str">
        <x:v>market_accuracy</x:v>
      </x:c>
    </x:row>
    <x:row r="3">
      <x:c r="A3" s="231" t="str">
        <x:v>2016/17</x:v>
      </x:c>
      <x:c r="B3" s="232" t="n">
        <x:v>380</x:v>
      </x:c>
      <x:c r="C3" s="232" t="n">
        <x:v>1118</x:v>
      </x:c>
      <x:c r="D3" s="233" t="n">
        <x:v>2.942105263157895</x:v>
      </x:c>
      <x:c r="E3" s="233" t="n">
        <x:v>1.6631578947368422</x:v>
      </x:c>
      <x:c r="F3" s="233" t="n">
        <x:v>1.2789473684210526</x:v>
      </x:c>
      <x:c r="G3" s="233" t="n">
        <x:v>0.38421052631578945</x:v>
      </x:c>
      <x:c r="H3" s="233" t="n">
        <x:v>23.96315789473684</x:v>
      </x:c>
      <x:c r="I3" s="233" t="n">
        <x:v>8.913157894736843</x:v>
      </x:c>
      <x:c r="J3" s="234" t="n">
        <x:v>0.4763157894736842</x:v>
      </x:c>
      <x:c r="K3" s="234" t="n">
        <x:v>0.23421052631578948</x:v>
      </x:c>
      <x:c r="L3" s="234" t="n">
        <x:v>0.2894736842105263</x:v>
      </x:c>
      <x:c r="M3" s="234" t="n">
        <x:v>1</x:v>
      </x:c>
      <x:c r="N3" s="235" t="n">
        <x:v>1.0507638430389525</x:v>
      </x:c>
      <x:c r="O3" s="234" t="n">
        <x:v>0.5842105263157895</x:v>
      </x:c>
    </x:row>
    <x:row r="4">
      <x:c r="A4" s="236" t="str">
        <x:v>2017/18</x:v>
      </x:c>
      <x:c r="B4" s="237" t="n">
        <x:v>380</x:v>
      </x:c>
      <x:c r="C4" s="237" t="n">
        <x:v>1024</x:v>
      </x:c>
      <x:c r="D4" s="238" t="n">
        <x:v>2.694736842105263</x:v>
      </x:c>
      <x:c r="E4" s="238" t="n">
        <x:v>1.5473684210526315</x:v>
      </x:c>
      <x:c r="F4" s="238" t="n">
        <x:v>1.1473684210526316</x:v>
      </x:c>
      <x:c r="G4" s="238" t="n">
        <x:v>0.4</x:v>
      </x:c>
      <x:c r="H4" s="238" t="n">
        <x:v>23.99736842105263</x:v>
      </x:c>
      <x:c r="I4" s="238" t="n">
        <x:v>8.563157894736841</x:v>
      </x:c>
      <x:c r="J4" s="239" t="n">
        <x:v>0.4710526315789474</x:v>
      </x:c>
      <x:c r="K4" s="239" t="n">
        <x:v>0.22631578947368422</x:v>
      </x:c>
      <x:c r="L4" s="239" t="n">
        <x:v>0.3026315789473684</x:v>
      </x:c>
      <x:c r="M4" s="239" t="n">
        <x:v>1</x:v>
      </x:c>
      <x:c r="N4" s="240" t="n">
        <x:v>1.0527185416080418</x:v>
      </x:c>
      <x:c r="O4" s="239" t="n">
        <x:v>0.5473684210526316</x:v>
      </x:c>
    </x:row>
    <x:row r="5">
      <x:c r="A5" s="236" t="str">
        <x:v>2018/19</x:v>
      </x:c>
      <x:c r="B5" s="237" t="n">
        <x:v>380</x:v>
      </x:c>
      <x:c r="C5" s="237" t="n">
        <x:v>983</x:v>
      </x:c>
      <x:c r="D5" s="238" t="n">
        <x:v>2.586842105263158</x:v>
      </x:c>
      <x:c r="E5" s="238" t="n">
        <x:v>1.4526315789473685</x:v>
      </x:c>
      <x:c r="F5" s="238" t="n">
        <x:v>1.1342105263157896</x:v>
      </x:c>
      <x:c r="G5" s="238" t="n">
        <x:v>0.31842105263157894</x:v>
      </x:c>
      <x:c r="H5" s="238" t="n">
        <x:v>24.307894736842105</x:v>
      </x:c>
      <x:c r="I5" s="238" t="n">
        <x:v>8.423684210526316</x:v>
      </x:c>
      <x:c r="J5" s="239" t="n">
        <x:v>0.4421052631578947</x:v>
      </x:c>
      <x:c r="K5" s="239" t="n">
        <x:v>0.2894736842105263</x:v>
      </x:c>
      <x:c r="L5" s="239" t="n">
        <x:v>0.26842105263157895</x:v>
      </x:c>
      <x:c r="M5" s="239" t="n">
        <x:v>1</x:v>
      </x:c>
      <x:c r="N5" s="240" t="n">
        <x:v>1.0526281406853457</x:v>
      </x:c>
      <x:c r="O5" s="239" t="n">
        <x:v>0.48157894736842105</x:v>
      </x:c>
    </x:row>
    <x:row r="6">
      <x:c r="A6" s="236" t="str">
        <x:v>2019/20</x:v>
      </x:c>
      <x:c r="B6" s="237" t="n">
        <x:v>380</x:v>
      </x:c>
      <x:c r="C6" s="237" t="n">
        <x:v>942</x:v>
      </x:c>
      <x:c r="D6" s="238" t="n">
        <x:v>2.4789473684210526</x:v>
      </x:c>
      <x:c r="E6" s="238" t="n">
        <x:v>1.436842105263158</x:v>
      </x:c>
      <x:c r="F6" s="238" t="n">
        <x:v>1.0421052631578946</x:v>
      </x:c>
      <x:c r="G6" s="238" t="n">
        <x:v>0.39473684210526316</x:v>
      </x:c>
      <x:c r="H6" s="238" t="n">
        <x:v>22.6</x:v>
      </x:c>
      <x:c r="I6" s="238" t="n">
        <x:v>7.847368421052631</x:v>
      </x:c>
      <x:c r="J6" s="239" t="n">
        <x:v>0.45789473684210524</x:v>
      </x:c>
      <x:c r="K6" s="239" t="n">
        <x:v>0.27631578947368424</x:v>
      </x:c>
      <x:c r="L6" s="239" t="n">
        <x:v>0.2657894736842105</x:v>
      </x:c>
      <x:c r="M6" s="239" t="n">
        <x:v>1</x:v>
      </x:c>
      <x:c r="N6" s="240" t="n">
        <x:v>1.0482242493282423</x:v>
      </x:c>
      <x:c r="O6" s="239" t="n">
        <x:v>0.5157894736842106</x:v>
      </x:c>
    </x:row>
    <x:row r="7">
      <x:c r="A7" s="236" t="str">
        <x:v>2020/21</x:v>
      </x:c>
      <x:c r="B7" s="237" t="n">
        <x:v>380</x:v>
      </x:c>
      <x:c r="C7" s="237" t="n">
        <x:v>953</x:v>
      </x:c>
      <x:c r="D7" s="238" t="n">
        <x:v>2.5078947368421054</x:v>
      </x:c>
      <x:c r="E7" s="238" t="n">
        <x:v>1.368421052631579</x:v>
      </x:c>
      <x:c r="F7" s="238" t="n">
        <x:v>1.1394736842105264</x:v>
      </x:c>
      <x:c r="G7" s="238" t="n">
        <x:v>0.22894736842105262</x:v>
      </x:c>
      <x:c r="H7" s="238" t="n">
        <x:v>21.347368421052632</x:v>
      </x:c>
      <x:c r="I7" s="238" t="n">
        <x:v>7.405263157894737</x:v>
      </x:c>
      <x:c r="J7" s="239" t="n">
        <x:v>0.41578947368421054</x:v>
      </x:c>
      <x:c r="K7" s="239" t="n">
        <x:v>0.2868421052631579</x:v>
      </x:c>
      <x:c r="L7" s="239" t="n">
        <x:v>0.29736842105263156</x:v>
      </x:c>
      <x:c r="M7" s="239" t="n">
        <x:v>1</x:v>
      </x:c>
      <x:c r="N7" s="240" t="n">
        <x:v>1.0475008179025442</x:v>
      </x:c>
      <x:c r="O7" s="239" t="n">
        <x:v>0.5342105263157895</x:v>
      </x:c>
    </x:row>
    <x:row r="8">
      <x:c r="A8" s="236" t="str">
        <x:v>2021/22</x:v>
      </x:c>
      <x:c r="B8" s="237" t="n">
        <x:v>380</x:v>
      </x:c>
      <x:c r="C8" s="237" t="n">
        <x:v>951</x:v>
      </x:c>
      <x:c r="D8" s="238" t="n">
        <x:v>2.5026315789473683</x:v>
      </x:c>
      <x:c r="E8" s="238" t="n">
        <x:v>1.4210526315789473</x:v>
      </x:c>
      <x:c r="F8" s="238" t="n">
        <x:v>1.081578947368421</x:v>
      </x:c>
      <x:c r="G8" s="238" t="n">
        <x:v>0.3394736842105263</x:v>
      </x:c>
      <x:c r="H8" s="238" t="n">
        <x:v>23.55</x:v>
      </x:c>
      <x:c r="I8" s="238" t="n">
        <x:v>7.955263157894737</x:v>
      </x:c>
      <x:c r="J8" s="239" t="n">
        <x:v>0.4342105263157895</x:v>
      </x:c>
      <x:c r="K8" s="239" t="n">
        <x:v>0.29210526315789476</x:v>
      </x:c>
      <x:c r="L8" s="239" t="n">
        <x:v>0.2736842105263158</x:v>
      </x:c>
      <x:c r="M8" s="239" t="n">
        <x:v>1</x:v>
      </x:c>
      <x:c r="N8" s="240" t="n">
        <x:v>1.0444542680477062</x:v>
      </x:c>
      <x:c r="O8" s="239" t="n">
        <x:v>0.5157894736842106</x:v>
      </x:c>
    </x:row>
    <x:row r="9">
      <x:c r="A9" s="236" t="str">
        <x:v>2022/23</x:v>
      </x:c>
      <x:c r="B9" s="237" t="n">
        <x:v>380</x:v>
      </x:c>
      <x:c r="C9" s="237" t="n">
        <x:v>955</x:v>
      </x:c>
      <x:c r="D9" s="238" t="n">
        <x:v>2.513157894736842</x:v>
      </x:c>
      <x:c r="E9" s="238" t="n">
        <x:v>1.4552631578947368</x:v>
      </x:c>
      <x:c r="F9" s="238" t="n">
        <x:v>1.0578947368421052</x:v>
      </x:c>
      <x:c r="G9" s="238" t="n">
        <x:v>0.3973684210526316</x:v>
      </x:c>
      <x:c r="H9" s="238" t="n">
        <x:v>24.623684210526317</x:v>
      </x:c>
      <x:c r="I9" s="238" t="n">
        <x:v>8.392105263157895</x:v>
      </x:c>
      <x:c r="J9" s="239" t="n">
        <x:v>0.4789473684210526</x:v>
      </x:c>
      <x:c r="K9" s="239" t="n">
        <x:v>0.23421052631578948</x:v>
      </x:c>
      <x:c r="L9" s="239" t="n">
        <x:v>0.2868421052631579</x:v>
      </x:c>
      <x:c r="M9" s="239" t="n">
        <x:v>1</x:v>
      </x:c>
      <x:c r="N9" s="240" t="n">
        <x:v>1.0437490738959168</x:v>
      </x:c>
      <x:c r="O9" s="239" t="n">
        <x:v>0.5447368421052632</x:v>
      </x:c>
    </x:row>
    <x:row r="10">
      <x:c r="A10" s="236" t="str">
        <x:v>2023/24</x:v>
      </x:c>
      <x:c r="B10" s="237" t="n">
        <x:v>380</x:v>
      </x:c>
      <x:c r="C10" s="237" t="n">
        <x:v>1005</x:v>
      </x:c>
      <x:c r="D10" s="238" t="n">
        <x:v>2.6447368421052633</x:v>
      </x:c>
      <x:c r="E10" s="238" t="n">
        <x:v>1.4842105263157894</x:v>
      </x:c>
      <x:c r="F10" s="238" t="n">
        <x:v>1.1605263157894736</x:v>
      </x:c>
      <x:c r="G10" s="238" t="n">
        <x:v>0.3236842105263158</x:v>
      </x:c>
      <x:c r="H10" s="238" t="n">
        <x:v>24.46315789473684</x:v>
      </x:c>
      <x:c r="I10" s="238" t="n">
        <x:v>8.618421052631579</x:v>
      </x:c>
      <x:c r="J10" s="239" t="n">
        <x:v>0.4394736842105263</x:v>
      </x:c>
      <x:c r="K10" s="239" t="n">
        <x:v>0.28157894736842104</x:v>
      </x:c>
      <x:c r="L10" s="239" t="n">
        <x:v>0.2789473684210526</x:v>
      </x:c>
      <x:c r="M10" s="239" t="n">
        <x:v>1</x:v>
      </x:c>
      <x:c r="N10" s="240" t="n">
        <x:v>1.0431537902396004</x:v>
      </x:c>
      <x:c r="O10" s="239" t="n">
        <x:v>0.5552631578947368</x:v>
      </x:c>
    </x:row>
    <x:row r="11">
      <x:c r="A11" s="236" t="str">
        <x:v>2024/25</x:v>
      </x:c>
      <x:c r="B11" s="237" t="n">
        <x:v>380</x:v>
      </x:c>
      <x:c r="C11" s="237" t="n">
        <x:v>995</x:v>
      </x:c>
      <x:c r="D11" s="238" t="n">
        <x:v>2.6184210526315788</x:v>
      </x:c>
      <x:c r="E11" s="238" t="n">
        <x:v>1.4526315789473685</x:v>
      </x:c>
      <x:c r="F11" s="238" t="n">
        <x:v>1.1657894736842105</x:v>
      </x:c>
      <x:c r="G11" s="238" t="n">
        <x:v>0.2868421052631579</x:v>
      </x:c>
      <x:c r="H11" s="238" t="n">
        <x:v>23.692105263157895</x:v>
      </x:c>
      <x:c r="I11" s="238" t="n">
        <x:v>8.136842105263158</x:v>
      </x:c>
      <x:c r="J11" s="239" t="n">
        <x:v>0.44473684210526315</x:v>
      </x:c>
      <x:c r="K11" s="239" t="n">
        <x:v>0.25526315789473686</x:v>
      </x:c>
      <x:c r="L11" s="239" t="n">
        <x:v>0.3</x:v>
      </x:c>
      <x:c r="M11" s="239" t="n">
        <x:v>1</x:v>
      </x:c>
      <x:c r="N11" s="240" t="n">
        <x:v>1.0474906714002097</x:v>
      </x:c>
      <x:c r="O11" s="239" t="n">
        <x:v>0.55</x:v>
      </x:c>
    </x:row>
    <x:row r="12">
      <x:c r="A12" s="241" t="str">
        <x:v>2025/26</x:v>
      </x:c>
      <x:c r="B12" s="242" t="n">
        <x:v>380</x:v>
      </x:c>
      <x:c r="C12" s="242" t="n">
        <x:v>1024</x:v>
      </x:c>
      <x:c r="D12" s="243" t="n">
        <x:v>2.694736842105263</x:v>
      </x:c>
      <x:c r="E12" s="243" t="n">
        <x:v>1.5736842105263158</x:v>
      </x:c>
      <x:c r="F12" s="243" t="n">
        <x:v>1.1210526315789473</x:v>
      </x:c>
      <x:c r="G12" s="243" t="n">
        <x:v>0.45263157894736844</x:v>
      </x:c>
      <x:c r="H12" s="243" t="n">
        <x:v>24.978947368421053</x:v>
      </x:c>
      <x:c r="I12" s="243" t="n">
        <x:v>8.671052631578947</x:v>
      </x:c>
      <x:c r="J12" s="244" t="n">
        <x:v>0.48947368421052634</x:v>
      </x:c>
      <x:c r="K12" s="244" t="n">
        <x:v>0.24473684210526317</x:v>
      </x:c>
      <x:c r="L12" s="244" t="n">
        <x:v>0.2657894736842105</x:v>
      </x:c>
      <x:c r="M12" s="244" t="n">
        <x:v>1</x:v>
      </x:c>
      <x:c r="N12" s="245" t="n">
        <x:v>1.0646126827209526</x:v>
      </x:c>
      <x:c r="O12" s="244" t="n">
        <x:v>0.5447368421052632</x:v>
      </x:c>
    </x:row>
    <x:row r="13">
      <x:c r="A13" s="141"/>
      <x:c r="B13" s="141"/>
      <x:c r="C13" s="141"/>
      <x:c r="D13" s="141"/>
      <x:c r="E13" s="141"/>
      <x:c r="F13" s="141"/>
      <x:c r="G13" s="141"/>
      <x:c r="H13" s="141"/>
      <x:c r="I13" s="141"/>
      <x:c r="J13" s="141"/>
      <x:c r="K13" s="141"/>
      <x:c r="L13" s="141"/>
      <x:c r="M13" s="141"/>
      <x:c r="N13" s="141"/>
      <x:c r="O13" s="141"/>
    </x:row>
    <x:row r="14">
      <x:c r="A14" s="141"/>
      <x:c r="B14" s="141"/>
      <x:c r="C14" s="141"/>
      <x:c r="D14" s="141"/>
      <x:c r="E14" s="141"/>
      <x:c r="F14" s="141"/>
      <x:c r="G14" s="141"/>
      <x:c r="H14" s="141"/>
      <x:c r="I14" s="141"/>
      <x:c r="J14" s="141"/>
      <x:c r="K14" s="141"/>
      <x:c r="L14" s="141"/>
      <x:c r="M14" s="141"/>
      <x:c r="N14" s="141"/>
      <x:c r="O14" s="141"/>
    </x:row>
    <x:row r="15" ht="30" customHeight="1">
      <x:c r="A15" s="228" t="str">
        <x:v>Temporada</x:v>
      </x:c>
      <x:c r="B15" s="230" t="str">
        <x:v>Goles por partido</x:v>
      </x:c>
      <x:c r="C15" s="141"/>
      <x:c r="D15" s="228" t="str">
        <x:v>Temporada</x:v>
      </x:c>
      <x:c r="E15" s="229" t="str">
        <x:v>Victoria local</x:v>
      </x:c>
      <x:c r="F15" s="229" t="str">
        <x:v>Empate</x:v>
      </x:c>
      <x:c r="G15" s="230" t="str">
        <x:v>Victoria visitante</x:v>
      </x:c>
      <x:c r="H15" s="141"/>
      <x:c r="I15" s="141"/>
      <x:c r="J15" s="141"/>
      <x:c r="K15" s="141"/>
      <x:c r="L15" s="141"/>
      <x:c r="M15" s="141"/>
      <x:c r="N15" s="141"/>
      <x:c r="O15" s="141"/>
    </x:row>
    <x:row r="16">
      <x:c r="A16" s="246" t="str">
        <x:f>A3</x:f>
        <x:v>2016/17</x:v>
      </x:c>
      <x:c r="B16" s="233" t="n">
        <x:f>D3</x:f>
        <x:v>2.942105263157895</x:v>
      </x:c>
      <x:c r="C16" s="141"/>
      <x:c r="D16" s="246" t="str">
        <x:f>A3</x:f>
        <x:v>2016/17</x:v>
      </x:c>
      <x:c r="E16" s="234" t="n">
        <x:f>J3</x:f>
        <x:v>0.4763157894736842</x:v>
      </x:c>
      <x:c r="F16" s="234" t="n">
        <x:f>K3</x:f>
        <x:v>0.23421052631578948</x:v>
      </x:c>
      <x:c r="G16" s="234" t="n">
        <x:f>L3</x:f>
        <x:v>0.2894736842105263</x:v>
      </x:c>
      <x:c r="H16" s="141"/>
      <x:c r="I16" s="141"/>
      <x:c r="J16" s="141"/>
      <x:c r="K16" s="141"/>
      <x:c r="L16" s="141"/>
      <x:c r="M16" s="141"/>
      <x:c r="N16" s="141"/>
      <x:c r="O16" s="141"/>
    </x:row>
    <x:row r="17">
      <x:c r="A17" s="247" t="str">
        <x:f>A4</x:f>
        <x:v>2017/18</x:v>
      </x:c>
      <x:c r="B17" s="238" t="n">
        <x:f>D4</x:f>
        <x:v>2.694736842105263</x:v>
      </x:c>
      <x:c r="C17" s="141"/>
      <x:c r="D17" s="247" t="str">
        <x:f>A4</x:f>
        <x:v>2017/18</x:v>
      </x:c>
      <x:c r="E17" s="239" t="n">
        <x:f>J4</x:f>
        <x:v>0.4710526315789474</x:v>
      </x:c>
      <x:c r="F17" s="239" t="n">
        <x:f>K4</x:f>
        <x:v>0.22631578947368422</x:v>
      </x:c>
      <x:c r="G17" s="239" t="n">
        <x:f>L4</x:f>
        <x:v>0.3026315789473684</x:v>
      </x:c>
      <x:c r="H17" s="141"/>
      <x:c r="I17" s="141"/>
      <x:c r="J17" s="141"/>
      <x:c r="K17" s="141"/>
      <x:c r="L17" s="141"/>
      <x:c r="M17" s="141"/>
      <x:c r="N17" s="141"/>
      <x:c r="O17" s="141"/>
    </x:row>
    <x:row r="18">
      <x:c r="A18" s="247" t="str">
        <x:f>A5</x:f>
        <x:v>2018/19</x:v>
      </x:c>
      <x:c r="B18" s="238" t="n">
        <x:f>D5</x:f>
        <x:v>2.586842105263158</x:v>
      </x:c>
      <x:c r="C18" s="141"/>
      <x:c r="D18" s="247" t="str">
        <x:f>A5</x:f>
        <x:v>2018/19</x:v>
      </x:c>
      <x:c r="E18" s="239" t="n">
        <x:f>J5</x:f>
        <x:v>0.4421052631578947</x:v>
      </x:c>
      <x:c r="F18" s="239" t="n">
        <x:f>K5</x:f>
        <x:v>0.2894736842105263</x:v>
      </x:c>
      <x:c r="G18" s="239" t="n">
        <x:f>L5</x:f>
        <x:v>0.26842105263157895</x:v>
      </x:c>
      <x:c r="H18" s="141"/>
      <x:c r="I18" s="141"/>
      <x:c r="J18" s="141"/>
      <x:c r="K18" s="141"/>
      <x:c r="L18" s="141"/>
      <x:c r="M18" s="141"/>
      <x:c r="N18" s="141"/>
      <x:c r="O18" s="141"/>
    </x:row>
    <x:row r="19">
      <x:c r="A19" s="247" t="str">
        <x:f>A6</x:f>
        <x:v>2019/20</x:v>
      </x:c>
      <x:c r="B19" s="238" t="n">
        <x:f>D6</x:f>
        <x:v>2.4789473684210526</x:v>
      </x:c>
      <x:c r="C19" s="141"/>
      <x:c r="D19" s="247" t="str">
        <x:f>A6</x:f>
        <x:v>2019/20</x:v>
      </x:c>
      <x:c r="E19" s="239" t="n">
        <x:f>J6</x:f>
        <x:v>0.45789473684210524</x:v>
      </x:c>
      <x:c r="F19" s="239" t="n">
        <x:f>K6</x:f>
        <x:v>0.27631578947368424</x:v>
      </x:c>
      <x:c r="G19" s="239" t="n">
        <x:f>L6</x:f>
        <x:v>0.2657894736842105</x:v>
      </x:c>
      <x:c r="H19" s="141"/>
      <x:c r="I19" s="141"/>
      <x:c r="J19" s="141"/>
      <x:c r="K19" s="141"/>
      <x:c r="L19" s="141"/>
      <x:c r="M19" s="141"/>
      <x:c r="N19" s="141"/>
      <x:c r="O19" s="141"/>
    </x:row>
    <x:row r="20">
      <x:c r="A20" s="247" t="str">
        <x:f>A7</x:f>
        <x:v>2020/21</x:v>
      </x:c>
      <x:c r="B20" s="238" t="n">
        <x:f>D7</x:f>
        <x:v>2.5078947368421054</x:v>
      </x:c>
      <x:c r="C20" s="141"/>
      <x:c r="D20" s="247" t="str">
        <x:f>A7</x:f>
        <x:v>2020/21</x:v>
      </x:c>
      <x:c r="E20" s="239" t="n">
        <x:f>J7</x:f>
        <x:v>0.41578947368421054</x:v>
      </x:c>
      <x:c r="F20" s="239" t="n">
        <x:f>K7</x:f>
        <x:v>0.2868421052631579</x:v>
      </x:c>
      <x:c r="G20" s="239" t="n">
        <x:f>L7</x:f>
        <x:v>0.29736842105263156</x:v>
      </x:c>
      <x:c r="H20" s="141"/>
      <x:c r="I20" s="141"/>
      <x:c r="J20" s="141"/>
      <x:c r="K20" s="141"/>
      <x:c r="L20" s="141"/>
      <x:c r="M20" s="141"/>
      <x:c r="N20" s="141"/>
      <x:c r="O20" s="141"/>
    </x:row>
    <x:row r="21">
      <x:c r="A21" s="247" t="str">
        <x:f>A8</x:f>
        <x:v>2021/22</x:v>
      </x:c>
      <x:c r="B21" s="238" t="n">
        <x:f>D8</x:f>
        <x:v>2.5026315789473683</x:v>
      </x:c>
      <x:c r="C21" s="141"/>
      <x:c r="D21" s="247" t="str">
        <x:f>A8</x:f>
        <x:v>2021/22</x:v>
      </x:c>
      <x:c r="E21" s="239" t="n">
        <x:f>J8</x:f>
        <x:v>0.4342105263157895</x:v>
      </x:c>
      <x:c r="F21" s="239" t="n">
        <x:f>K8</x:f>
        <x:v>0.29210526315789476</x:v>
      </x:c>
      <x:c r="G21" s="239" t="n">
        <x:f>L8</x:f>
        <x:v>0.2736842105263158</x:v>
      </x:c>
      <x:c r="H21" s="141"/>
      <x:c r="I21" s="141"/>
      <x:c r="J21" s="141"/>
      <x:c r="K21" s="141"/>
      <x:c r="L21" s="141"/>
      <x:c r="M21" s="141"/>
      <x:c r="N21" s="141"/>
      <x:c r="O21" s="141"/>
    </x:row>
    <x:row r="22">
      <x:c r="A22" s="247" t="str">
        <x:f>A9</x:f>
        <x:v>2022/23</x:v>
      </x:c>
      <x:c r="B22" s="238" t="n">
        <x:f>D9</x:f>
        <x:v>2.513157894736842</x:v>
      </x:c>
      <x:c r="C22" s="141"/>
      <x:c r="D22" s="247" t="str">
        <x:f>A9</x:f>
        <x:v>2022/23</x:v>
      </x:c>
      <x:c r="E22" s="239" t="n">
        <x:f>J9</x:f>
        <x:v>0.4789473684210526</x:v>
      </x:c>
      <x:c r="F22" s="239" t="n">
        <x:f>K9</x:f>
        <x:v>0.23421052631578948</x:v>
      </x:c>
      <x:c r="G22" s="239" t="n">
        <x:f>L9</x:f>
        <x:v>0.2868421052631579</x:v>
      </x:c>
      <x:c r="H22" s="141"/>
      <x:c r="I22" s="141"/>
      <x:c r="J22" s="141"/>
      <x:c r="K22" s="141"/>
      <x:c r="L22" s="141"/>
      <x:c r="M22" s="141"/>
      <x:c r="N22" s="141"/>
      <x:c r="O22" s="141"/>
    </x:row>
    <x:row r="23">
      <x:c r="A23" s="247" t="str">
        <x:f>A10</x:f>
        <x:v>2023/24</x:v>
      </x:c>
      <x:c r="B23" s="238" t="n">
        <x:f>D10</x:f>
        <x:v>2.6447368421052633</x:v>
      </x:c>
      <x:c r="C23" s="141"/>
      <x:c r="D23" s="247" t="str">
        <x:f>A10</x:f>
        <x:v>2023/24</x:v>
      </x:c>
      <x:c r="E23" s="239" t="n">
        <x:f>J10</x:f>
        <x:v>0.4394736842105263</x:v>
      </x:c>
      <x:c r="F23" s="239" t="n">
        <x:f>K10</x:f>
        <x:v>0.28157894736842104</x:v>
      </x:c>
      <x:c r="G23" s="239" t="n">
        <x:f>L10</x:f>
        <x:v>0.2789473684210526</x:v>
      </x:c>
      <x:c r="H23" s="141"/>
      <x:c r="I23" s="141"/>
      <x:c r="J23" s="141"/>
      <x:c r="K23" s="141"/>
      <x:c r="L23" s="141"/>
      <x:c r="M23" s="141"/>
      <x:c r="N23" s="141"/>
      <x:c r="O23" s="141"/>
    </x:row>
    <x:row r="24">
      <x:c r="A24" s="247" t="str">
        <x:f>A11</x:f>
        <x:v>2024/25</x:v>
      </x:c>
      <x:c r="B24" s="238" t="n">
        <x:f>D11</x:f>
        <x:v>2.6184210526315788</x:v>
      </x:c>
      <x:c r="C24" s="141"/>
      <x:c r="D24" s="247" t="str">
        <x:f>A11</x:f>
        <x:v>2024/25</x:v>
      </x:c>
      <x:c r="E24" s="239" t="n">
        <x:f>J11</x:f>
        <x:v>0.44473684210526315</x:v>
      </x:c>
      <x:c r="F24" s="239" t="n">
        <x:f>K11</x:f>
        <x:v>0.25526315789473686</x:v>
      </x:c>
      <x:c r="G24" s="239" t="n">
        <x:f>L11</x:f>
        <x:v>0.3</x:v>
      </x:c>
      <x:c r="H24" s="141"/>
      <x:c r="I24" s="141"/>
      <x:c r="J24" s="141"/>
      <x:c r="K24" s="141"/>
      <x:c r="L24" s="141"/>
      <x:c r="M24" s="141"/>
      <x:c r="N24" s="141"/>
      <x:c r="O24" s="141"/>
    </x:row>
    <x:row r="25">
      <x:c r="A25" s="248" t="str">
        <x:f>A12</x:f>
        <x:v>2025/26</x:v>
      </x:c>
      <x:c r="B25" s="243" t="n">
        <x:f>D12</x:f>
        <x:v>2.694736842105263</x:v>
      </x:c>
      <x:c r="C25" s="141"/>
      <x:c r="D25" s="248" t="str">
        <x:f>A12</x:f>
        <x:v>2025/26</x:v>
      </x:c>
      <x:c r="E25" s="244" t="n">
        <x:f>J12</x:f>
        <x:v>0.48947368421052634</x:v>
      </x:c>
      <x:c r="F25" s="244" t="n">
        <x:f>K12</x:f>
        <x:v>0.24473684210526317</x:v>
      </x:c>
      <x:c r="G25" s="244" t="n">
        <x:f>L12</x:f>
        <x:v>0.2657894736842105</x:v>
      </x:c>
      <x:c r="H25" s="141"/>
      <x:c r="I25" s="141"/>
      <x:c r="J25" s="141"/>
      <x:c r="K25" s="141"/>
      <x:c r="L25" s="141"/>
      <x:c r="M25" s="141"/>
      <x:c r="N25" s="141"/>
      <x:c r="O25" s="141"/>
    </x:row>
  </x:sheetData>
  <x:mergeCells>
    <x:mergeCell ref="A1:O1"/>
  </x:mergeCells>
  <x:pageMargins left="0.7" right="0.7" top="0.75" bottom="0.75" header="0.3" footer="0.3"/>
  <x:drawing xmlns:r="http://schemas.openxmlformats.org/officeDocument/2006/relationships" r:id="R765f1a8401054901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24" hidden="0" customWidth="1"/>
    <x:col min="18" max="18" width="12" hidden="0" customWidth="1"/>
  </x:cols>
  <x:sheetData>
    <x:row r="1" ht="34" customHeight="1">
      <x:c r="A1" s="139" t="str">
        <x:v>Rendimiento de ascendidos</x:v>
      </x:c>
      <x:c r="B1" s="139" t="str">
        <x:v>Rendimiento de ascendidos</x:v>
      </x:c>
      <x:c r="C1" s="139" t="str">
        <x:v>Rendimiento de ascendidos</x:v>
      </x:c>
      <x:c r="D1" s="139" t="str">
        <x:v>Rendimiento de ascendidos</x:v>
      </x:c>
      <x:c r="E1" s="139" t="str">
        <x:v>Rendimiento de ascendidos</x:v>
      </x:c>
      <x:c r="F1" s="139" t="str">
        <x:v>Rendimiento de ascendidos</x:v>
      </x:c>
      <x:c r="G1" s="139" t="str">
        <x:v>Rendimiento de ascendidos</x:v>
      </x:c>
      <x:c r="H1" s="139" t="str">
        <x:v>Rendimiento de ascendidos</x:v>
      </x:c>
      <x:c r="I1" s="139" t="str">
        <x:v>Rendimiento de ascendidos</x:v>
      </x:c>
      <x:c r="J1" s="139" t="str">
        <x:v>Rendimiento de ascendidos</x:v>
      </x:c>
      <x:c r="K1" s="139" t="str">
        <x:v>Rendimiento de ascendidos</x:v>
      </x:c>
      <x:c r="L1" s="139" t="str">
        <x:v>Rendimiento de ascendidos</x:v>
      </x:c>
      <x:c r="M1" s="139" t="str">
        <x:v>Rendimiento de ascendidos</x:v>
      </x:c>
      <x:c r="N1" s="139" t="str">
        <x:v>Rendimiento de ascendidos</x:v>
      </x:c>
      <x:c r="O1" s="139" t="str">
        <x:v>Rendimiento de ascendidos</x:v>
      </x:c>
      <x:c r="P1" s="139" t="str">
        <x:v>Rendimiento de ascendidos</x:v>
      </x:c>
      <x:c r="Q1" s="141"/>
      <x:c r="R1" s="141"/>
    </x:row>
    <x:row r="2" ht="30" customHeight="1">
      <x:c r="A2" s="228" t="str">
        <x:v>team</x:v>
      </x:c>
      <x:c r="B2" s="229" t="str">
        <x:v>laliga_season</x:v>
      </x:c>
      <x:c r="C2" s="229" t="str">
        <x:v>has_segunda_statistics</x:v>
      </x:c>
      <x:c r="D2" s="229" t="str">
        <x:v>segunda_position</x:v>
      </x:c>
      <x:c r="E2" s="229" t="str">
        <x:v>segunda_points</x:v>
      </x:c>
      <x:c r="F2" s="229" t="str">
        <x:v>laliga_position</x:v>
      </x:c>
      <x:c r="G2" s="229" t="str">
        <x:v>laliga_wins</x:v>
      </x:c>
      <x:c r="H2" s="229" t="str">
        <x:v>laliga_draws</x:v>
      </x:c>
      <x:c r="I2" s="229" t="str">
        <x:v>laliga_losses</x:v>
      </x:c>
      <x:c r="J2" s="229" t="str">
        <x:v>laliga_goals_for</x:v>
      </x:c>
      <x:c r="K2" s="229" t="str">
        <x:v>laliga_goals_against</x:v>
      </x:c>
      <x:c r="L2" s="229" t="str">
        <x:v>laliga_goal_difference</x:v>
      </x:c>
      <x:c r="M2" s="229" t="str">
        <x:v>laliga_points</x:v>
      </x:c>
      <x:c r="N2" s="229" t="str">
        <x:v>points_per_match</x:v>
      </x:c>
      <x:c r="O2" s="230" t="str">
        <x:v>survived_first_season</x:v>
      </x:c>
      <x:c r="P2" s="249" t="str">
        <x:v>survival_flag</x:v>
      </x:c>
      <x:c r="Q2" s="141"/>
      <x:c r="R2" s="141"/>
    </x:row>
    <x:row r="3">
      <x:c r="A3" s="246" t="str">
        <x:v>Getafe CF</x:v>
      </x:c>
      <x:c r="B3" s="246" t="str">
        <x:v>2017/18</x:v>
      </x:c>
      <x:c r="C3" s="250" t="b">
        <x:v>0</x:v>
      </x:c>
      <x:c r="D3" s="251"/>
      <x:c r="E3" s="251"/>
      <x:c r="F3" s="251" t="n">
        <x:v>8</x:v>
      </x:c>
      <x:c r="G3" s="251" t="n">
        <x:v>15</x:v>
      </x:c>
      <x:c r="H3" s="251" t="n">
        <x:v>10</x:v>
      </x:c>
      <x:c r="I3" s="251" t="n">
        <x:v>13</x:v>
      </x:c>
      <x:c r="J3" s="251" t="n">
        <x:v>42</x:v>
      </x:c>
      <x:c r="K3" s="251" t="n">
        <x:v>33</x:v>
      </x:c>
      <x:c r="L3" s="251" t="n">
        <x:v>9</x:v>
      </x:c>
      <x:c r="M3" s="251" t="n">
        <x:v>55</x:v>
      </x:c>
      <x:c r="N3" s="233" t="n">
        <x:v>1.4473684210526316</x:v>
      </x:c>
      <x:c r="O3" s="250" t="b">
        <x:v>1</x:v>
      </x:c>
      <x:c r="P3" s="246" t="n">
        <x:f>IF(O3=TRUE,1,0)</x:f>
        <x:v>1</x:v>
      </x:c>
      <x:c r="Q3" s="141"/>
      <x:c r="R3" s="141"/>
    </x:row>
    <x:row r="4">
      <x:c r="A4" s="247" t="str">
        <x:v>Girona FC</x:v>
      </x:c>
      <x:c r="B4" s="247" t="str">
        <x:v>2017/18</x:v>
      </x:c>
      <x:c r="C4" s="252" t="b">
        <x:v>0</x:v>
      </x:c>
      <x:c r="D4" s="253"/>
      <x:c r="E4" s="253"/>
      <x:c r="F4" s="253" t="n">
        <x:v>10</x:v>
      </x:c>
      <x:c r="G4" s="253" t="n">
        <x:v>14</x:v>
      </x:c>
      <x:c r="H4" s="253" t="n">
        <x:v>9</x:v>
      </x:c>
      <x:c r="I4" s="253" t="n">
        <x:v>15</x:v>
      </x:c>
      <x:c r="J4" s="253" t="n">
        <x:v>50</x:v>
      </x:c>
      <x:c r="K4" s="253" t="n">
        <x:v>59</x:v>
      </x:c>
      <x:c r="L4" s="253" t="n">
        <x:v>-9</x:v>
      </x:c>
      <x:c r="M4" s="253" t="n">
        <x:v>51</x:v>
      </x:c>
      <x:c r="N4" s="238" t="n">
        <x:v>1.3421052631578947</x:v>
      </x:c>
      <x:c r="O4" s="252" t="b">
        <x:v>1</x:v>
      </x:c>
      <x:c r="P4" s="247" t="n">
        <x:f>IF(O4=TRUE,1,0)</x:f>
        <x:v>1</x:v>
      </x:c>
      <x:c r="Q4" s="141"/>
      <x:c r="R4" s="141"/>
    </x:row>
    <x:row r="5">
      <x:c r="A5" s="247" t="str">
        <x:v>Levante UD</x:v>
      </x:c>
      <x:c r="B5" s="247" t="str">
        <x:v>2017/18</x:v>
      </x:c>
      <x:c r="C5" s="252" t="b">
        <x:v>0</x:v>
      </x:c>
      <x:c r="D5" s="253"/>
      <x:c r="E5" s="253"/>
      <x:c r="F5" s="253" t="n">
        <x:v>15</x:v>
      </x:c>
      <x:c r="G5" s="253" t="n">
        <x:v>11</x:v>
      </x:c>
      <x:c r="H5" s="253" t="n">
        <x:v>13</x:v>
      </x:c>
      <x:c r="I5" s="253" t="n">
        <x:v>14</x:v>
      </x:c>
      <x:c r="J5" s="253" t="n">
        <x:v>44</x:v>
      </x:c>
      <x:c r="K5" s="253" t="n">
        <x:v>58</x:v>
      </x:c>
      <x:c r="L5" s="253" t="n">
        <x:v>-14</x:v>
      </x:c>
      <x:c r="M5" s="253" t="n">
        <x:v>46</x:v>
      </x:c>
      <x:c r="N5" s="238" t="n">
        <x:v>1.2105263157894737</x:v>
      </x:c>
      <x:c r="O5" s="252" t="b">
        <x:v>1</x:v>
      </x:c>
      <x:c r="P5" s="247" t="n">
        <x:f>IF(O5=TRUE,1,0)</x:f>
        <x:v>1</x:v>
      </x:c>
      <x:c r="Q5" s="141"/>
      <x:c r="R5" s="141"/>
    </x:row>
    <x:row r="6">
      <x:c r="A6" s="247" t="str">
        <x:v>SD Huesca</x:v>
      </x:c>
      <x:c r="B6" s="247" t="str">
        <x:v>2018/19</x:v>
      </x:c>
      <x:c r="C6" s="252" t="b">
        <x:v>0</x:v>
      </x:c>
      <x:c r="D6" s="253"/>
      <x:c r="E6" s="253"/>
      <x:c r="F6" s="253" t="n">
        <x:v>19</x:v>
      </x:c>
      <x:c r="G6" s="253" t="n">
        <x:v>7</x:v>
      </x:c>
      <x:c r="H6" s="253" t="n">
        <x:v>12</x:v>
      </x:c>
      <x:c r="I6" s="253" t="n">
        <x:v>19</x:v>
      </x:c>
      <x:c r="J6" s="253" t="n">
        <x:v>43</x:v>
      </x:c>
      <x:c r="K6" s="253" t="n">
        <x:v>65</x:v>
      </x:c>
      <x:c r="L6" s="253" t="n">
        <x:v>-22</x:v>
      </x:c>
      <x:c r="M6" s="253" t="n">
        <x:v>33</x:v>
      </x:c>
      <x:c r="N6" s="238" t="n">
        <x:v>0.868421052631579</x:v>
      </x:c>
      <x:c r="O6" s="252" t="b">
        <x:v>0</x:v>
      </x:c>
      <x:c r="P6" s="247" t="n">
        <x:f>IF(O6=TRUE,1,0)</x:f>
        <x:v>0</x:v>
      </x:c>
      <x:c r="Q6" s="141"/>
      <x:c r="R6" s="141"/>
    </x:row>
    <x:row r="7">
      <x:c r="A7" s="247" t="str">
        <x:v>Real Valladolid</x:v>
      </x:c>
      <x:c r="B7" s="247" t="str">
        <x:v>2018/19</x:v>
      </x:c>
      <x:c r="C7" s="252" t="b">
        <x:v>0</x:v>
      </x:c>
      <x:c r="D7" s="253"/>
      <x:c r="E7" s="253"/>
      <x:c r="F7" s="253" t="n">
        <x:v>17</x:v>
      </x:c>
      <x:c r="G7" s="253" t="n">
        <x:v>10</x:v>
      </x:c>
      <x:c r="H7" s="253" t="n">
        <x:v>11</x:v>
      </x:c>
      <x:c r="I7" s="253" t="n">
        <x:v>17</x:v>
      </x:c>
      <x:c r="J7" s="253" t="n">
        <x:v>32</x:v>
      </x:c>
      <x:c r="K7" s="253" t="n">
        <x:v>51</x:v>
      </x:c>
      <x:c r="L7" s="253" t="n">
        <x:v>-19</x:v>
      </x:c>
      <x:c r="M7" s="253" t="n">
        <x:v>41</x:v>
      </x:c>
      <x:c r="N7" s="238" t="n">
        <x:v>1.0789473684210527</x:v>
      </x:c>
      <x:c r="O7" s="252" t="b">
        <x:v>1</x:v>
      </x:c>
      <x:c r="P7" s="247" t="n">
        <x:f>IF(O7=TRUE,1,0)</x:f>
        <x:v>1</x:v>
      </x:c>
      <x:c r="Q7" s="141"/>
      <x:c r="R7" s="141"/>
    </x:row>
    <x:row r="8">
      <x:c r="A8" s="247" t="str">
        <x:v>Rayo Vallecano</x:v>
      </x:c>
      <x:c r="B8" s="247" t="str">
        <x:v>2018/19</x:v>
      </x:c>
      <x:c r="C8" s="252" t="b">
        <x:v>0</x:v>
      </x:c>
      <x:c r="D8" s="253"/>
      <x:c r="E8" s="253"/>
      <x:c r="F8" s="253" t="n">
        <x:v>20</x:v>
      </x:c>
      <x:c r="G8" s="253" t="n">
        <x:v>8</x:v>
      </x:c>
      <x:c r="H8" s="253" t="n">
        <x:v>8</x:v>
      </x:c>
      <x:c r="I8" s="253" t="n">
        <x:v>22</x:v>
      </x:c>
      <x:c r="J8" s="253" t="n">
        <x:v>41</x:v>
      </x:c>
      <x:c r="K8" s="253" t="n">
        <x:v>70</x:v>
      </x:c>
      <x:c r="L8" s="253" t="n">
        <x:v>-29</x:v>
      </x:c>
      <x:c r="M8" s="253" t="n">
        <x:v>32</x:v>
      </x:c>
      <x:c r="N8" s="238" t="n">
        <x:v>0.8421052631578947</x:v>
      </x:c>
      <x:c r="O8" s="252" t="b">
        <x:v>0</x:v>
      </x:c>
      <x:c r="P8" s="247" t="n">
        <x:f>IF(O8=TRUE,1,0)</x:f>
        <x:v>0</x:v>
      </x:c>
      <x:c r="Q8" s="141"/>
      <x:c r="R8" s="141"/>
    </x:row>
    <x:row r="9">
      <x:c r="A9" s="247" t="str">
        <x:v>Granada CF</x:v>
      </x:c>
      <x:c r="B9" s="247" t="str">
        <x:v>2019/20</x:v>
      </x:c>
      <x:c r="C9" s="252" t="b">
        <x:v>0</x:v>
      </x:c>
      <x:c r="D9" s="253"/>
      <x:c r="E9" s="253"/>
      <x:c r="F9" s="253" t="n">
        <x:v>7</x:v>
      </x:c>
      <x:c r="G9" s="253" t="n">
        <x:v>16</x:v>
      </x:c>
      <x:c r="H9" s="253" t="n">
        <x:v>8</x:v>
      </x:c>
      <x:c r="I9" s="253" t="n">
        <x:v>14</x:v>
      </x:c>
      <x:c r="J9" s="253" t="n">
        <x:v>52</x:v>
      </x:c>
      <x:c r="K9" s="253" t="n">
        <x:v>45</x:v>
      </x:c>
      <x:c r="L9" s="253" t="n">
        <x:v>7</x:v>
      </x:c>
      <x:c r="M9" s="253" t="n">
        <x:v>56</x:v>
      </x:c>
      <x:c r="N9" s="238" t="n">
        <x:v>1.4736842105263157</x:v>
      </x:c>
      <x:c r="O9" s="252" t="b">
        <x:v>1</x:v>
      </x:c>
      <x:c r="P9" s="247" t="n">
        <x:f>IF(O9=TRUE,1,0)</x:f>
        <x:v>1</x:v>
      </x:c>
      <x:c r="Q9" s="141"/>
      <x:c r="R9" s="141"/>
    </x:row>
    <x:row r="10">
      <x:c r="A10" s="247" t="str">
        <x:v>RCD Mallorca</x:v>
      </x:c>
      <x:c r="B10" s="247" t="str">
        <x:v>2019/20</x:v>
      </x:c>
      <x:c r="C10" s="252" t="b">
        <x:v>0</x:v>
      </x:c>
      <x:c r="D10" s="253"/>
      <x:c r="E10" s="253"/>
      <x:c r="F10" s="253" t="n">
        <x:v>19</x:v>
      </x:c>
      <x:c r="G10" s="253" t="n">
        <x:v>9</x:v>
      </x:c>
      <x:c r="H10" s="253" t="n">
        <x:v>6</x:v>
      </x:c>
      <x:c r="I10" s="253" t="n">
        <x:v>23</x:v>
      </x:c>
      <x:c r="J10" s="253" t="n">
        <x:v>40</x:v>
      </x:c>
      <x:c r="K10" s="253" t="n">
        <x:v>65</x:v>
      </x:c>
      <x:c r="L10" s="253" t="n">
        <x:v>-25</x:v>
      </x:c>
      <x:c r="M10" s="253" t="n">
        <x:v>33</x:v>
      </x:c>
      <x:c r="N10" s="238" t="n">
        <x:v>0.868421052631579</x:v>
      </x:c>
      <x:c r="O10" s="252" t="b">
        <x:v>0</x:v>
      </x:c>
      <x:c r="P10" s="247" t="n">
        <x:f>IF(O10=TRUE,1,0)</x:f>
        <x:v>0</x:v>
      </x:c>
      <x:c r="Q10" s="141"/>
      <x:c r="R10" s="141"/>
    </x:row>
    <x:row r="11">
      <x:c r="A11" s="247" t="str">
        <x:v>CA Osasuna</x:v>
      </x:c>
      <x:c r="B11" s="247" t="str">
        <x:v>2019/20</x:v>
      </x:c>
      <x:c r="C11" s="252" t="b">
        <x:v>0</x:v>
      </x:c>
      <x:c r="D11" s="253"/>
      <x:c r="E11" s="253"/>
      <x:c r="F11" s="253" t="n">
        <x:v>10</x:v>
      </x:c>
      <x:c r="G11" s="253" t="n">
        <x:v>13</x:v>
      </x:c>
      <x:c r="H11" s="253" t="n">
        <x:v>13</x:v>
      </x:c>
      <x:c r="I11" s="253" t="n">
        <x:v>12</x:v>
      </x:c>
      <x:c r="J11" s="253" t="n">
        <x:v>46</x:v>
      </x:c>
      <x:c r="K11" s="253" t="n">
        <x:v>54</x:v>
      </x:c>
      <x:c r="L11" s="253" t="n">
        <x:v>-8</x:v>
      </x:c>
      <x:c r="M11" s="253" t="n">
        <x:v>52</x:v>
      </x:c>
      <x:c r="N11" s="238" t="n">
        <x:v>1.368421052631579</x:v>
      </x:c>
      <x:c r="O11" s="252" t="b">
        <x:v>1</x:v>
      </x:c>
      <x:c r="P11" s="247" t="n">
        <x:f>IF(O11=TRUE,1,0)</x:f>
        <x:v>1</x:v>
      </x:c>
      <x:c r="Q11" s="141"/>
      <x:c r="R11" s="141"/>
    </x:row>
    <x:row r="12">
      <x:c r="A12" s="247" t="str">
        <x:v>Cádiz CF</x:v>
      </x:c>
      <x:c r="B12" s="247" t="str">
        <x:v>2020/21</x:v>
      </x:c>
      <x:c r="C12" s="252" t="b">
        <x:v>0</x:v>
      </x:c>
      <x:c r="D12" s="253"/>
      <x:c r="E12" s="253"/>
      <x:c r="F12" s="253" t="n">
        <x:v>12</x:v>
      </x:c>
      <x:c r="G12" s="253" t="n">
        <x:v>11</x:v>
      </x:c>
      <x:c r="H12" s="253" t="n">
        <x:v>11</x:v>
      </x:c>
      <x:c r="I12" s="253" t="n">
        <x:v>16</x:v>
      </x:c>
      <x:c r="J12" s="253" t="n">
        <x:v>36</x:v>
      </x:c>
      <x:c r="K12" s="253" t="n">
        <x:v>58</x:v>
      </x:c>
      <x:c r="L12" s="253" t="n">
        <x:v>-22</x:v>
      </x:c>
      <x:c r="M12" s="253" t="n">
        <x:v>44</x:v>
      </x:c>
      <x:c r="N12" s="238" t="n">
        <x:v>1.1578947368421053</x:v>
      </x:c>
      <x:c r="O12" s="252" t="b">
        <x:v>1</x:v>
      </x:c>
      <x:c r="P12" s="247" t="n">
        <x:f>IF(O12=TRUE,1,0)</x:f>
        <x:v>1</x:v>
      </x:c>
      <x:c r="Q12" s="141"/>
      <x:c r="R12" s="141"/>
    </x:row>
    <x:row r="13">
      <x:c r="A13" s="247" t="str">
        <x:v>Elche CF</x:v>
      </x:c>
      <x:c r="B13" s="247" t="str">
        <x:v>2020/21</x:v>
      </x:c>
      <x:c r="C13" s="252" t="b">
        <x:v>0</x:v>
      </x:c>
      <x:c r="D13" s="253"/>
      <x:c r="E13" s="253"/>
      <x:c r="F13" s="253" t="n">
        <x:v>17</x:v>
      </x:c>
      <x:c r="G13" s="253" t="n">
        <x:v>8</x:v>
      </x:c>
      <x:c r="H13" s="253" t="n">
        <x:v>12</x:v>
      </x:c>
      <x:c r="I13" s="253" t="n">
        <x:v>18</x:v>
      </x:c>
      <x:c r="J13" s="253" t="n">
        <x:v>34</x:v>
      </x:c>
      <x:c r="K13" s="253" t="n">
        <x:v>55</x:v>
      </x:c>
      <x:c r="L13" s="253" t="n">
        <x:v>-21</x:v>
      </x:c>
      <x:c r="M13" s="253" t="n">
        <x:v>36</x:v>
      </x:c>
      <x:c r="N13" s="238" t="n">
        <x:v>0.9473684210526315</x:v>
      </x:c>
      <x:c r="O13" s="252" t="b">
        <x:v>1</x:v>
      </x:c>
      <x:c r="P13" s="247" t="n">
        <x:f>IF(O13=TRUE,1,0)</x:f>
        <x:v>1</x:v>
      </x:c>
      <x:c r="Q13" s="141"/>
      <x:c r="R13" s="141"/>
    </x:row>
    <x:row r="14">
      <x:c r="A14" s="247" t="str">
        <x:v>SD Huesca</x:v>
      </x:c>
      <x:c r="B14" s="247" t="str">
        <x:v>2020/21</x:v>
      </x:c>
      <x:c r="C14" s="252" t="b">
        <x:v>0</x:v>
      </x:c>
      <x:c r="D14" s="253"/>
      <x:c r="E14" s="253"/>
      <x:c r="F14" s="253" t="n">
        <x:v>18</x:v>
      </x:c>
      <x:c r="G14" s="253" t="n">
        <x:v>7</x:v>
      </x:c>
      <x:c r="H14" s="253" t="n">
        <x:v>13</x:v>
      </x:c>
      <x:c r="I14" s="253" t="n">
        <x:v>18</x:v>
      </x:c>
      <x:c r="J14" s="253" t="n">
        <x:v>34</x:v>
      </x:c>
      <x:c r="K14" s="253" t="n">
        <x:v>53</x:v>
      </x:c>
      <x:c r="L14" s="253" t="n">
        <x:v>-19</x:v>
      </x:c>
      <x:c r="M14" s="253" t="n">
        <x:v>34</x:v>
      </x:c>
      <x:c r="N14" s="238" t="n">
        <x:v>0.8947368421052632</x:v>
      </x:c>
      <x:c r="O14" s="252" t="b">
        <x:v>0</x:v>
      </x:c>
      <x:c r="P14" s="247" t="n">
        <x:f>IF(O14=TRUE,1,0)</x:f>
        <x:v>0</x:v>
      </x:c>
      <x:c r="Q14" s="141"/>
      <x:c r="R14" s="141"/>
    </x:row>
    <x:row r="15">
      <x:c r="A15" s="247" t="str">
        <x:v>RCD Espanyol</x:v>
      </x:c>
      <x:c r="B15" s="247" t="str">
        <x:v>2021/22</x:v>
      </x:c>
      <x:c r="C15" s="252" t="b">
        <x:v>0</x:v>
      </x:c>
      <x:c r="D15" s="253"/>
      <x:c r="E15" s="253"/>
      <x:c r="F15" s="253" t="n">
        <x:v>14</x:v>
      </x:c>
      <x:c r="G15" s="253" t="n">
        <x:v>10</x:v>
      </x:c>
      <x:c r="H15" s="253" t="n">
        <x:v>12</x:v>
      </x:c>
      <x:c r="I15" s="253" t="n">
        <x:v>16</x:v>
      </x:c>
      <x:c r="J15" s="253" t="n">
        <x:v>40</x:v>
      </x:c>
      <x:c r="K15" s="253" t="n">
        <x:v>53</x:v>
      </x:c>
      <x:c r="L15" s="253" t="n">
        <x:v>-13</x:v>
      </x:c>
      <x:c r="M15" s="253" t="n">
        <x:v>42</x:v>
      </x:c>
      <x:c r="N15" s="238" t="n">
        <x:v>1.105263157894737</x:v>
      </x:c>
      <x:c r="O15" s="252" t="b">
        <x:v>1</x:v>
      </x:c>
      <x:c r="P15" s="247" t="n">
        <x:f>IF(O15=TRUE,1,0)</x:f>
        <x:v>1</x:v>
      </x:c>
      <x:c r="Q15" s="141"/>
      <x:c r="R15" s="141"/>
    </x:row>
    <x:row r="16">
      <x:c r="A16" s="247" t="str">
        <x:v>RCD Mallorca</x:v>
      </x:c>
      <x:c r="B16" s="247" t="str">
        <x:v>2021/22</x:v>
      </x:c>
      <x:c r="C16" s="252" t="b">
        <x:v>0</x:v>
      </x:c>
      <x:c r="D16" s="253"/>
      <x:c r="E16" s="253"/>
      <x:c r="F16" s="253" t="n">
        <x:v>17</x:v>
      </x:c>
      <x:c r="G16" s="253" t="n">
        <x:v>10</x:v>
      </x:c>
      <x:c r="H16" s="253" t="n">
        <x:v>9</x:v>
      </x:c>
      <x:c r="I16" s="253" t="n">
        <x:v>19</x:v>
      </x:c>
      <x:c r="J16" s="253" t="n">
        <x:v>36</x:v>
      </x:c>
      <x:c r="K16" s="253" t="n">
        <x:v>63</x:v>
      </x:c>
      <x:c r="L16" s="253" t="n">
        <x:v>-27</x:v>
      </x:c>
      <x:c r="M16" s="253" t="n">
        <x:v>39</x:v>
      </x:c>
      <x:c r="N16" s="238" t="n">
        <x:v>1.0263157894736843</x:v>
      </x:c>
      <x:c r="O16" s="252" t="b">
        <x:v>1</x:v>
      </x:c>
      <x:c r="P16" s="247" t="n">
        <x:f>IF(O16=TRUE,1,0)</x:f>
        <x:v>1</x:v>
      </x:c>
      <x:c r="Q16" s="141"/>
      <x:c r="R16" s="141"/>
    </x:row>
    <x:row r="17">
      <x:c r="A17" s="247" t="str">
        <x:v>Rayo Vallecano</x:v>
      </x:c>
      <x:c r="B17" s="247" t="str">
        <x:v>2021/22</x:v>
      </x:c>
      <x:c r="C17" s="252" t="b">
        <x:v>0</x:v>
      </x:c>
      <x:c r="D17" s="253"/>
      <x:c r="E17" s="253"/>
      <x:c r="F17" s="253" t="n">
        <x:v>12</x:v>
      </x:c>
      <x:c r="G17" s="253" t="n">
        <x:v>11</x:v>
      </x:c>
      <x:c r="H17" s="253" t="n">
        <x:v>9</x:v>
      </x:c>
      <x:c r="I17" s="253" t="n">
        <x:v>18</x:v>
      </x:c>
      <x:c r="J17" s="253" t="n">
        <x:v>39</x:v>
      </x:c>
      <x:c r="K17" s="253" t="n">
        <x:v>50</x:v>
      </x:c>
      <x:c r="L17" s="253" t="n">
        <x:v>-11</x:v>
      </x:c>
      <x:c r="M17" s="253" t="n">
        <x:v>42</x:v>
      </x:c>
      <x:c r="N17" s="238" t="n">
        <x:v>1.105263157894737</x:v>
      </x:c>
      <x:c r="O17" s="252" t="b">
        <x:v>1</x:v>
      </x:c>
      <x:c r="P17" s="247" t="n">
        <x:f>IF(O17=TRUE,1,0)</x:f>
        <x:v>1</x:v>
      </x:c>
      <x:c r="Q17" s="141"/>
      <x:c r="R17" s="141"/>
    </x:row>
    <x:row r="18">
      <x:c r="A18" s="247" t="str">
        <x:v>UD Almería</x:v>
      </x:c>
      <x:c r="B18" s="247" t="str">
        <x:v>2022/23</x:v>
      </x:c>
      <x:c r="C18" s="252" t="b">
        <x:v>1</x:v>
      </x:c>
      <x:c r="D18" s="253" t="n">
        <x:v>1</x:v>
      </x:c>
      <x:c r="E18" s="253" t="n">
        <x:v>81</x:v>
      </x:c>
      <x:c r="F18" s="253" t="n">
        <x:v>17</x:v>
      </x:c>
      <x:c r="G18" s="253" t="n">
        <x:v>11</x:v>
      </x:c>
      <x:c r="H18" s="253" t="n">
        <x:v>8</x:v>
      </x:c>
      <x:c r="I18" s="253" t="n">
        <x:v>19</x:v>
      </x:c>
      <x:c r="J18" s="253" t="n">
        <x:v>49</x:v>
      </x:c>
      <x:c r="K18" s="253" t="n">
        <x:v>65</x:v>
      </x:c>
      <x:c r="L18" s="253" t="n">
        <x:v>-16</x:v>
      </x:c>
      <x:c r="M18" s="253" t="n">
        <x:v>41</x:v>
      </x:c>
      <x:c r="N18" s="238" t="n">
        <x:v>1.0789473684210527</x:v>
      </x:c>
      <x:c r="O18" s="252" t="b">
        <x:v>1</x:v>
      </x:c>
      <x:c r="P18" s="247" t="n">
        <x:f>IF(O18=TRUE,1,0)</x:f>
        <x:v>1</x:v>
      </x:c>
      <x:c r="Q18" s="141"/>
      <x:c r="R18" s="141"/>
    </x:row>
    <x:row r="19">
      <x:c r="A19" s="247" t="str">
        <x:v>Real Valladolid</x:v>
      </x:c>
      <x:c r="B19" s="247" t="str">
        <x:v>2022/23</x:v>
      </x:c>
      <x:c r="C19" s="252" t="b">
        <x:v>1</x:v>
      </x:c>
      <x:c r="D19" s="253" t="n">
        <x:v>2</x:v>
      </x:c>
      <x:c r="E19" s="253" t="n">
        <x:v>81</x:v>
      </x:c>
      <x:c r="F19" s="253" t="n">
        <x:v>18</x:v>
      </x:c>
      <x:c r="G19" s="253" t="n">
        <x:v>11</x:v>
      </x:c>
      <x:c r="H19" s="253" t="n">
        <x:v>7</x:v>
      </x:c>
      <x:c r="I19" s="253" t="n">
        <x:v>20</x:v>
      </x:c>
      <x:c r="J19" s="253" t="n">
        <x:v>33</x:v>
      </x:c>
      <x:c r="K19" s="253" t="n">
        <x:v>63</x:v>
      </x:c>
      <x:c r="L19" s="253" t="n">
        <x:v>-30</x:v>
      </x:c>
      <x:c r="M19" s="253" t="n">
        <x:v>40</x:v>
      </x:c>
      <x:c r="N19" s="238" t="n">
        <x:v>1.0526315789473684</x:v>
      </x:c>
      <x:c r="O19" s="252" t="b">
        <x:v>0</x:v>
      </x:c>
      <x:c r="P19" s="247" t="n">
        <x:f>IF(O19=TRUE,1,0)</x:f>
        <x:v>0</x:v>
      </x:c>
      <x:c r="Q19" s="141"/>
      <x:c r="R19" s="141"/>
    </x:row>
    <x:row r="20">
      <x:c r="A20" s="247" t="str">
        <x:v>Girona FC</x:v>
      </x:c>
      <x:c r="B20" s="247" t="str">
        <x:v>2022/23</x:v>
      </x:c>
      <x:c r="C20" s="252" t="b">
        <x:v>1</x:v>
      </x:c>
      <x:c r="D20" s="253" t="n">
        <x:v>7</x:v>
      </x:c>
      <x:c r="E20" s="253" t="n">
        <x:v>68</x:v>
      </x:c>
      <x:c r="F20" s="253" t="n">
        <x:v>10</x:v>
      </x:c>
      <x:c r="G20" s="253" t="n">
        <x:v>13</x:v>
      </x:c>
      <x:c r="H20" s="253" t="n">
        <x:v>10</x:v>
      </x:c>
      <x:c r="I20" s="253" t="n">
        <x:v>15</x:v>
      </x:c>
      <x:c r="J20" s="253" t="n">
        <x:v>58</x:v>
      </x:c>
      <x:c r="K20" s="253" t="n">
        <x:v>55</x:v>
      </x:c>
      <x:c r="L20" s="253" t="n">
        <x:v>3</x:v>
      </x:c>
      <x:c r="M20" s="253" t="n">
        <x:v>49</x:v>
      </x:c>
      <x:c r="N20" s="238" t="n">
        <x:v>1.2894736842105263</x:v>
      </x:c>
      <x:c r="O20" s="252" t="b">
        <x:v>1</x:v>
      </x:c>
      <x:c r="P20" s="247" t="n">
        <x:f>IF(O20=TRUE,1,0)</x:f>
        <x:v>1</x:v>
      </x:c>
      <x:c r="Q20" s="141"/>
      <x:c r="R20" s="141"/>
    </x:row>
    <x:row r="21">
      <x:c r="A21" s="247" t="str">
        <x:v>Granada CF</x:v>
      </x:c>
      <x:c r="B21" s="247" t="str">
        <x:v>2023/24</x:v>
      </x:c>
      <x:c r="C21" s="252" t="b">
        <x:v>1</x:v>
      </x:c>
      <x:c r="D21" s="253" t="n">
        <x:v>1</x:v>
      </x:c>
      <x:c r="E21" s="253" t="n">
        <x:v>75</x:v>
      </x:c>
      <x:c r="F21" s="253" t="n">
        <x:v>20</x:v>
      </x:c>
      <x:c r="G21" s="253" t="n">
        <x:v>4</x:v>
      </x:c>
      <x:c r="H21" s="253" t="n">
        <x:v>9</x:v>
      </x:c>
      <x:c r="I21" s="253" t="n">
        <x:v>25</x:v>
      </x:c>
      <x:c r="J21" s="253" t="n">
        <x:v>38</x:v>
      </x:c>
      <x:c r="K21" s="253" t="n">
        <x:v>79</x:v>
      </x:c>
      <x:c r="L21" s="253" t="n">
        <x:v>-41</x:v>
      </x:c>
      <x:c r="M21" s="253" t="n">
        <x:v>21</x:v>
      </x:c>
      <x:c r="N21" s="238" t="n">
        <x:v>0.5526315789473685</x:v>
      </x:c>
      <x:c r="O21" s="252" t="b">
        <x:v>0</x:v>
      </x:c>
      <x:c r="P21" s="247" t="n">
        <x:f>IF(O21=TRUE,1,0)</x:f>
        <x:v>0</x:v>
      </x:c>
      <x:c r="Q21" s="141"/>
      <x:c r="R21" s="141"/>
    </x:row>
    <x:row r="22">
      <x:c r="A22" s="247" t="str">
        <x:v>UD Las Palmas</x:v>
      </x:c>
      <x:c r="B22" s="247" t="str">
        <x:v>2023/24</x:v>
      </x:c>
      <x:c r="C22" s="252" t="b">
        <x:v>1</x:v>
      </x:c>
      <x:c r="D22" s="253" t="n">
        <x:v>2</x:v>
      </x:c>
      <x:c r="E22" s="253" t="n">
        <x:v>72</x:v>
      </x:c>
      <x:c r="F22" s="253" t="n">
        <x:v>16</x:v>
      </x:c>
      <x:c r="G22" s="253" t="n">
        <x:v>10</x:v>
      </x:c>
      <x:c r="H22" s="253" t="n">
        <x:v>10</x:v>
      </x:c>
      <x:c r="I22" s="253" t="n">
        <x:v>18</x:v>
      </x:c>
      <x:c r="J22" s="253" t="n">
        <x:v>33</x:v>
      </x:c>
      <x:c r="K22" s="253" t="n">
        <x:v>47</x:v>
      </x:c>
      <x:c r="L22" s="253" t="n">
        <x:v>-14</x:v>
      </x:c>
      <x:c r="M22" s="253" t="n">
        <x:v>40</x:v>
      </x:c>
      <x:c r="N22" s="238" t="n">
        <x:v>1.0526315789473684</x:v>
      </x:c>
      <x:c r="O22" s="252" t="b">
        <x:v>1</x:v>
      </x:c>
      <x:c r="P22" s="247" t="n">
        <x:f>IF(O22=TRUE,1,0)</x:f>
        <x:v>1</x:v>
      </x:c>
      <x:c r="Q22" s="141"/>
      <x:c r="R22" s="141"/>
    </x:row>
    <x:row r="23">
      <x:c r="A23" s="247" t="str">
        <x:v>Deportivo Alavés</x:v>
      </x:c>
      <x:c r="B23" s="247" t="str">
        <x:v>2023/24</x:v>
      </x:c>
      <x:c r="C23" s="252" t="b">
        <x:v>1</x:v>
      </x:c>
      <x:c r="D23" s="253" t="n">
        <x:v>4</x:v>
      </x:c>
      <x:c r="E23" s="253" t="n">
        <x:v>71</x:v>
      </x:c>
      <x:c r="F23" s="253" t="n">
        <x:v>10</x:v>
      </x:c>
      <x:c r="G23" s="253" t="n">
        <x:v>12</x:v>
      </x:c>
      <x:c r="H23" s="253" t="n">
        <x:v>10</x:v>
      </x:c>
      <x:c r="I23" s="253" t="n">
        <x:v>16</x:v>
      </x:c>
      <x:c r="J23" s="253" t="n">
        <x:v>36</x:v>
      </x:c>
      <x:c r="K23" s="253" t="n">
        <x:v>46</x:v>
      </x:c>
      <x:c r="L23" s="253" t="n">
        <x:v>-10</x:v>
      </x:c>
      <x:c r="M23" s="253" t="n">
        <x:v>46</x:v>
      </x:c>
      <x:c r="N23" s="238" t="n">
        <x:v>1.2105263157894737</x:v>
      </x:c>
      <x:c r="O23" s="252" t="b">
        <x:v>1</x:v>
      </x:c>
      <x:c r="P23" s="247" t="n">
        <x:f>IF(O23=TRUE,1,0)</x:f>
        <x:v>1</x:v>
      </x:c>
      <x:c r="Q23" s="141"/>
      <x:c r="R23" s="141"/>
    </x:row>
    <x:row r="24">
      <x:c r="A24" s="247" t="str">
        <x:v>CD Leganés</x:v>
      </x:c>
      <x:c r="B24" s="247" t="str">
        <x:v>2024/25</x:v>
      </x:c>
      <x:c r="C24" s="252" t="b">
        <x:v>1</x:v>
      </x:c>
      <x:c r="D24" s="253" t="n">
        <x:v>1</x:v>
      </x:c>
      <x:c r="E24" s="253" t="n">
        <x:v>74</x:v>
      </x:c>
      <x:c r="F24" s="253" t="n">
        <x:v>18</x:v>
      </x:c>
      <x:c r="G24" s="253" t="n">
        <x:v>9</x:v>
      </x:c>
      <x:c r="H24" s="253" t="n">
        <x:v>13</x:v>
      </x:c>
      <x:c r="I24" s="253" t="n">
        <x:v>16</x:v>
      </x:c>
      <x:c r="J24" s="253" t="n">
        <x:v>39</x:v>
      </x:c>
      <x:c r="K24" s="253" t="n">
        <x:v>56</x:v>
      </x:c>
      <x:c r="L24" s="253" t="n">
        <x:v>-17</x:v>
      </x:c>
      <x:c r="M24" s="253" t="n">
        <x:v>40</x:v>
      </x:c>
      <x:c r="N24" s="238" t="n">
        <x:v>1.0526315789473684</x:v>
      </x:c>
      <x:c r="O24" s="252" t="b">
        <x:v>0</x:v>
      </x:c>
      <x:c r="P24" s="247" t="n">
        <x:f>IF(O24=TRUE,1,0)</x:f>
        <x:v>0</x:v>
      </x:c>
      <x:c r="Q24" s="141"/>
      <x:c r="R24" s="141"/>
    </x:row>
    <x:row r="25">
      <x:c r="A25" s="247" t="str">
        <x:v>Real Valladolid</x:v>
      </x:c>
      <x:c r="B25" s="247" t="str">
        <x:v>2024/25</x:v>
      </x:c>
      <x:c r="C25" s="252" t="b">
        <x:v>1</x:v>
      </x:c>
      <x:c r="D25" s="253" t="n">
        <x:v>2</x:v>
      </x:c>
      <x:c r="E25" s="253" t="n">
        <x:v>72</x:v>
      </x:c>
      <x:c r="F25" s="253" t="n">
        <x:v>20</x:v>
      </x:c>
      <x:c r="G25" s="253" t="n">
        <x:v>4</x:v>
      </x:c>
      <x:c r="H25" s="253" t="n">
        <x:v>4</x:v>
      </x:c>
      <x:c r="I25" s="253" t="n">
        <x:v>30</x:v>
      </x:c>
      <x:c r="J25" s="253" t="n">
        <x:v>26</x:v>
      </x:c>
      <x:c r="K25" s="253" t="n">
        <x:v>90</x:v>
      </x:c>
      <x:c r="L25" s="253" t="n">
        <x:v>-64</x:v>
      </x:c>
      <x:c r="M25" s="253" t="n">
        <x:v>16</x:v>
      </x:c>
      <x:c r="N25" s="238" t="n">
        <x:v>0.42105263157894735</x:v>
      </x:c>
      <x:c r="O25" s="252" t="b">
        <x:v>0</x:v>
      </x:c>
      <x:c r="P25" s="247" t="n">
        <x:f>IF(O25=TRUE,1,0)</x:f>
        <x:v>0</x:v>
      </x:c>
      <x:c r="Q25" s="141"/>
      <x:c r="R25" s="141"/>
    </x:row>
    <x:row r="26">
      <x:c r="A26" s="247" t="str">
        <x:v>RCD Espanyol</x:v>
      </x:c>
      <x:c r="B26" s="247" t="str">
        <x:v>2024/25</x:v>
      </x:c>
      <x:c r="C26" s="252" t="b">
        <x:v>1</x:v>
      </x:c>
      <x:c r="D26" s="253" t="n">
        <x:v>4</x:v>
      </x:c>
      <x:c r="E26" s="253" t="n">
        <x:v>69</x:v>
      </x:c>
      <x:c r="F26" s="253" t="n">
        <x:v>15</x:v>
      </x:c>
      <x:c r="G26" s="253" t="n">
        <x:v>11</x:v>
      </x:c>
      <x:c r="H26" s="253" t="n">
        <x:v>9</x:v>
      </x:c>
      <x:c r="I26" s="253" t="n">
        <x:v>18</x:v>
      </x:c>
      <x:c r="J26" s="253" t="n">
        <x:v>40</x:v>
      </x:c>
      <x:c r="K26" s="253" t="n">
        <x:v>51</x:v>
      </x:c>
      <x:c r="L26" s="253" t="n">
        <x:v>-11</x:v>
      </x:c>
      <x:c r="M26" s="253" t="n">
        <x:v>42</x:v>
      </x:c>
      <x:c r="N26" s="238" t="n">
        <x:v>1.105263157894737</x:v>
      </x:c>
      <x:c r="O26" s="252" t="b">
        <x:v>1</x:v>
      </x:c>
      <x:c r="P26" s="247" t="n">
        <x:f>IF(O26=TRUE,1,0)</x:f>
        <x:v>1</x:v>
      </x:c>
      <x:c r="Q26" s="141"/>
      <x:c r="R26" s="141"/>
    </x:row>
    <x:row r="27">
      <x:c r="A27" s="247" t="str">
        <x:v>Levante UD</x:v>
      </x:c>
      <x:c r="B27" s="247" t="str">
        <x:v>2025/26</x:v>
      </x:c>
      <x:c r="C27" s="252" t="b">
        <x:v>1</x:v>
      </x:c>
      <x:c r="D27" s="253" t="n">
        <x:v>1</x:v>
      </x:c>
      <x:c r="E27" s="253" t="n">
        <x:v>79</x:v>
      </x:c>
      <x:c r="F27" s="253" t="n">
        <x:v>18</x:v>
      </x:c>
      <x:c r="G27" s="253" t="n">
        <x:v>11</x:v>
      </x:c>
      <x:c r="H27" s="253" t="n">
        <x:v>9</x:v>
      </x:c>
      <x:c r="I27" s="253" t="n">
        <x:v>18</x:v>
      </x:c>
      <x:c r="J27" s="253" t="n">
        <x:v>47</x:v>
      </x:c>
      <x:c r="K27" s="253" t="n">
        <x:v>61</x:v>
      </x:c>
      <x:c r="L27" s="253" t="n">
        <x:v>-14</x:v>
      </x:c>
      <x:c r="M27" s="253" t="n">
        <x:v>42</x:v>
      </x:c>
      <x:c r="N27" s="238" t="n">
        <x:v>1.105263157894737</x:v>
      </x:c>
      <x:c r="O27" s="252" t="b">
        <x:v>1</x:v>
      </x:c>
      <x:c r="P27" s="247" t="n">
        <x:f>IF(O27=TRUE,1,0)</x:f>
        <x:v>1</x:v>
      </x:c>
      <x:c r="Q27" s="141"/>
      <x:c r="R27" s="141"/>
    </x:row>
    <x:row r="28">
      <x:c r="A28" s="247" t="str">
        <x:v>Elche CF</x:v>
      </x:c>
      <x:c r="B28" s="247" t="str">
        <x:v>2025/26</x:v>
      </x:c>
      <x:c r="C28" s="252" t="b">
        <x:v>1</x:v>
      </x:c>
      <x:c r="D28" s="253" t="n">
        <x:v>2</x:v>
      </x:c>
      <x:c r="E28" s="253" t="n">
        <x:v>77</x:v>
      </x:c>
      <x:c r="F28" s="253" t="n">
        <x:v>13</x:v>
      </x:c>
      <x:c r="G28" s="253" t="n">
        <x:v>10</x:v>
      </x:c>
      <x:c r="H28" s="253" t="n">
        <x:v>13</x:v>
      </x:c>
      <x:c r="I28" s="253" t="n">
        <x:v>15</x:v>
      </x:c>
      <x:c r="J28" s="253" t="n">
        <x:v>49</x:v>
      </x:c>
      <x:c r="K28" s="253" t="n">
        <x:v>57</x:v>
      </x:c>
      <x:c r="L28" s="253" t="n">
        <x:v>-8</x:v>
      </x:c>
      <x:c r="M28" s="253" t="n">
        <x:v>43</x:v>
      </x:c>
      <x:c r="N28" s="238" t="n">
        <x:v>1.131578947368421</x:v>
      </x:c>
      <x:c r="O28" s="252" t="b">
        <x:v>1</x:v>
      </x:c>
      <x:c r="P28" s="247" t="n">
        <x:f>IF(O28=TRUE,1,0)</x:f>
        <x:v>1</x:v>
      </x:c>
      <x:c r="Q28" s="141"/>
      <x:c r="R28" s="141"/>
    </x:row>
    <x:row r="29">
      <x:c r="A29" s="248" t="str">
        <x:v>Real Oviedo</x:v>
      </x:c>
      <x:c r="B29" s="248" t="str">
        <x:v>2025/26</x:v>
      </x:c>
      <x:c r="C29" s="254" t="b">
        <x:v>1</x:v>
      </x:c>
      <x:c r="D29" s="255" t="n">
        <x:v>4</x:v>
      </x:c>
      <x:c r="E29" s="255" t="n">
        <x:v>75</x:v>
      </x:c>
      <x:c r="F29" s="255" t="n">
        <x:v>20</x:v>
      </x:c>
      <x:c r="G29" s="255" t="n">
        <x:v>6</x:v>
      </x:c>
      <x:c r="H29" s="255" t="n">
        <x:v>11</x:v>
      </x:c>
      <x:c r="I29" s="255" t="n">
        <x:v>21</x:v>
      </x:c>
      <x:c r="J29" s="255" t="n">
        <x:v>26</x:v>
      </x:c>
      <x:c r="K29" s="255" t="n">
        <x:v>60</x:v>
      </x:c>
      <x:c r="L29" s="255" t="n">
        <x:v>-34</x:v>
      </x:c>
      <x:c r="M29" s="255" t="n">
        <x:v>29</x:v>
      </x:c>
      <x:c r="N29" s="243" t="n">
        <x:v>0.7631578947368421</x:v>
      </x:c>
      <x:c r="O29" s="254" t="b">
        <x:v>0</x:v>
      </x:c>
      <x:c r="P29" s="248" t="n">
        <x:f>IF(O29=TRUE,1,0)</x:f>
        <x:v>0</x:v>
      </x:c>
      <x:c r="Q29" s="141"/>
      <x:c r="R29" s="141"/>
    </x:row>
    <x:row r="30">
      <x:c r="A30" s="141"/>
      <x:c r="B30" s="141"/>
      <x:c r="C30" s="141"/>
      <x:c r="D30" s="141"/>
      <x:c r="E30" s="141"/>
      <x:c r="F30" s="141"/>
      <x:c r="G30" s="141"/>
      <x:c r="H30" s="141"/>
      <x:c r="I30" s="141"/>
      <x:c r="J30" s="141"/>
      <x:c r="K30" s="141"/>
      <x:c r="L30" s="141"/>
      <x:c r="M30" s="141"/>
      <x:c r="N30" s="141"/>
      <x:c r="O30" s="141"/>
      <x:c r="P30" s="141"/>
      <x:c r="Q30" s="141"/>
      <x:c r="R30" s="141"/>
    </x:row>
    <x:row r="31" ht="30" customHeight="1">
      <x:c r="A31" s="141"/>
      <x:c r="B31" s="141"/>
      <x:c r="C31" s="141"/>
      <x:c r="D31" s="141"/>
      <x:c r="E31" s="141"/>
      <x:c r="F31" s="141"/>
      <x:c r="G31" s="141"/>
      <x:c r="H31" s="141"/>
      <x:c r="I31" s="141"/>
      <x:c r="J31" s="141"/>
      <x:c r="K31" s="141"/>
      <x:c r="L31" s="141"/>
      <x:c r="M31" s="141"/>
      <x:c r="N31" s="141"/>
      <x:c r="O31" s="141"/>
      <x:c r="P31" s="141"/>
      <x:c r="Q31" s="228" t="str">
        <x:v>Equipo</x:v>
      </x:c>
      <x:c r="R31" s="230" t="str">
        <x:v>Puntos</x:v>
      </x:c>
    </x:row>
    <x:row r="32">
      <x:c r="A32" s="141"/>
      <x:c r="B32" s="141"/>
      <x:c r="C32" s="141"/>
      <x:c r="D32" s="141"/>
      <x:c r="E32" s="141"/>
      <x:c r="F32" s="141"/>
      <x:c r="G32" s="141"/>
      <x:c r="H32" s="141"/>
      <x:c r="I32" s="141"/>
      <x:c r="J32" s="141"/>
      <x:c r="K32" s="141"/>
      <x:c r="L32" s="141"/>
      <x:c r="M32" s="141"/>
      <x:c r="N32" s="141"/>
      <x:c r="O32" s="141"/>
      <x:c r="P32" s="141"/>
      <x:c r="Q32" s="246" t="str">
        <x:f>A3</x:f>
        <x:v>Getafe CF</x:v>
      </x:c>
      <x:c r="R32" s="246" t="n">
        <x:f>M3</x:f>
        <x:v>55</x:v>
      </x:c>
    </x:row>
    <x:row r="33">
      <x:c r="A33" s="141"/>
      <x:c r="B33" s="141"/>
      <x:c r="C33" s="141"/>
      <x:c r="D33" s="141"/>
      <x:c r="E33" s="141"/>
      <x:c r="F33" s="141"/>
      <x:c r="G33" s="141"/>
      <x:c r="H33" s="141"/>
      <x:c r="I33" s="141"/>
      <x:c r="J33" s="141"/>
      <x:c r="K33" s="141"/>
      <x:c r="L33" s="141"/>
      <x:c r="M33" s="141"/>
      <x:c r="N33" s="141"/>
      <x:c r="O33" s="141"/>
      <x:c r="P33" s="141"/>
      <x:c r="Q33" s="247" t="str">
        <x:f>A4</x:f>
        <x:v>Girona FC</x:v>
      </x:c>
      <x:c r="R33" s="247" t="n">
        <x:f>M4</x:f>
        <x:v>51</x:v>
      </x:c>
    </x:row>
    <x:row r="34">
      <x:c r="A34" s="141"/>
      <x:c r="B34" s="141"/>
      <x:c r="C34" s="141"/>
      <x:c r="D34" s="141"/>
      <x:c r="E34" s="141"/>
      <x:c r="F34" s="141"/>
      <x:c r="G34" s="141"/>
      <x:c r="H34" s="141"/>
      <x:c r="I34" s="141"/>
      <x:c r="J34" s="141"/>
      <x:c r="K34" s="141"/>
      <x:c r="L34" s="141"/>
      <x:c r="M34" s="141"/>
      <x:c r="N34" s="141"/>
      <x:c r="O34" s="141"/>
      <x:c r="P34" s="141"/>
      <x:c r="Q34" s="247" t="str">
        <x:f>A5</x:f>
        <x:v>Levante UD</x:v>
      </x:c>
      <x:c r="R34" s="247" t="n">
        <x:f>M5</x:f>
        <x:v>46</x:v>
      </x:c>
    </x:row>
    <x:row r="35">
      <x:c r="A35" s="141"/>
      <x:c r="B35" s="141"/>
      <x:c r="C35" s="141"/>
      <x:c r="D35" s="141"/>
      <x:c r="E35" s="141"/>
      <x:c r="F35" s="141"/>
      <x:c r="G35" s="141"/>
      <x:c r="H35" s="141"/>
      <x:c r="I35" s="141"/>
      <x:c r="J35" s="141"/>
      <x:c r="K35" s="141"/>
      <x:c r="L35" s="141"/>
      <x:c r="M35" s="141"/>
      <x:c r="N35" s="141"/>
      <x:c r="O35" s="141"/>
      <x:c r="P35" s="141"/>
      <x:c r="Q35" s="247" t="str">
        <x:f>A6</x:f>
        <x:v>SD Huesca</x:v>
      </x:c>
      <x:c r="R35" s="247" t="n">
        <x:f>M6</x:f>
        <x:v>33</x:v>
      </x:c>
    </x:row>
    <x:row r="36">
      <x:c r="A36" s="141"/>
      <x:c r="B36" s="141"/>
      <x:c r="C36" s="141"/>
      <x:c r="D36" s="141"/>
      <x:c r="E36" s="141"/>
      <x:c r="F36" s="141"/>
      <x:c r="G36" s="141"/>
      <x:c r="H36" s="141"/>
      <x:c r="I36" s="141"/>
      <x:c r="J36" s="141"/>
      <x:c r="K36" s="141"/>
      <x:c r="L36" s="141"/>
      <x:c r="M36" s="141"/>
      <x:c r="N36" s="141"/>
      <x:c r="O36" s="141"/>
      <x:c r="P36" s="141"/>
      <x:c r="Q36" s="247" t="str">
        <x:f>A7</x:f>
        <x:v>Real Valladolid</x:v>
      </x:c>
      <x:c r="R36" s="247" t="n">
        <x:f>M7</x:f>
        <x:v>41</x:v>
      </x:c>
    </x:row>
    <x:row r="37">
      <x:c r="A37" s="141"/>
      <x:c r="B37" s="141"/>
      <x:c r="C37" s="141"/>
      <x:c r="D37" s="141"/>
      <x:c r="E37" s="141"/>
      <x:c r="F37" s="141"/>
      <x:c r="G37" s="141"/>
      <x:c r="H37" s="141"/>
      <x:c r="I37" s="141"/>
      <x:c r="J37" s="141"/>
      <x:c r="K37" s="141"/>
      <x:c r="L37" s="141"/>
      <x:c r="M37" s="141"/>
      <x:c r="N37" s="141"/>
      <x:c r="O37" s="141"/>
      <x:c r="P37" s="141"/>
      <x:c r="Q37" s="247" t="str">
        <x:f>A8</x:f>
        <x:v>Rayo Vallecano</x:v>
      </x:c>
      <x:c r="R37" s="247" t="n">
        <x:f>M8</x:f>
        <x:v>32</x:v>
      </x:c>
    </x:row>
    <x:row r="38">
      <x:c r="A38" s="141"/>
      <x:c r="B38" s="141"/>
      <x:c r="C38" s="141"/>
      <x:c r="D38" s="141"/>
      <x:c r="E38" s="141"/>
      <x:c r="F38" s="141"/>
      <x:c r="G38" s="141"/>
      <x:c r="H38" s="141"/>
      <x:c r="I38" s="141"/>
      <x:c r="J38" s="141"/>
      <x:c r="K38" s="141"/>
      <x:c r="L38" s="141"/>
      <x:c r="M38" s="141"/>
      <x:c r="N38" s="141"/>
      <x:c r="O38" s="141"/>
      <x:c r="P38" s="141"/>
      <x:c r="Q38" s="247" t="str">
        <x:f>A9</x:f>
        <x:v>Granada CF</x:v>
      </x:c>
      <x:c r="R38" s="247" t="n">
        <x:f>M9</x:f>
        <x:v>56</x:v>
      </x:c>
    </x:row>
    <x:row r="39">
      <x:c r="A39" s="141"/>
      <x:c r="B39" s="141"/>
      <x:c r="C39" s="141"/>
      <x:c r="D39" s="141"/>
      <x:c r="E39" s="141"/>
      <x:c r="F39" s="141"/>
      <x:c r="G39" s="141"/>
      <x:c r="H39" s="141"/>
      <x:c r="I39" s="141"/>
      <x:c r="J39" s="141"/>
      <x:c r="K39" s="141"/>
      <x:c r="L39" s="141"/>
      <x:c r="M39" s="141"/>
      <x:c r="N39" s="141"/>
      <x:c r="O39" s="141"/>
      <x:c r="P39" s="141"/>
      <x:c r="Q39" s="247" t="str">
        <x:f>A10</x:f>
        <x:v>RCD Mallorca</x:v>
      </x:c>
      <x:c r="R39" s="247" t="n">
        <x:f>M10</x:f>
        <x:v>33</x:v>
      </x:c>
    </x:row>
    <x:row r="40">
      <x:c r="A40" s="141"/>
      <x:c r="B40" s="141"/>
      <x:c r="C40" s="141"/>
      <x:c r="D40" s="141"/>
      <x:c r="E40" s="141"/>
      <x:c r="F40" s="141"/>
      <x:c r="G40" s="141"/>
      <x:c r="H40" s="141"/>
      <x:c r="I40" s="141"/>
      <x:c r="J40" s="141"/>
      <x:c r="K40" s="141"/>
      <x:c r="L40" s="141"/>
      <x:c r="M40" s="141"/>
      <x:c r="N40" s="141"/>
      <x:c r="O40" s="141"/>
      <x:c r="P40" s="141"/>
      <x:c r="Q40" s="247" t="str">
        <x:f>A11</x:f>
        <x:v>CA Osasuna</x:v>
      </x:c>
      <x:c r="R40" s="247" t="n">
        <x:f>M11</x:f>
        <x:v>52</x:v>
      </x:c>
    </x:row>
    <x:row r="41">
      <x:c r="A41" s="141"/>
      <x:c r="B41" s="141"/>
      <x:c r="C41" s="141"/>
      <x:c r="D41" s="141"/>
      <x:c r="E41" s="141"/>
      <x:c r="F41" s="141"/>
      <x:c r="G41" s="141"/>
      <x:c r="H41" s="141"/>
      <x:c r="I41" s="141"/>
      <x:c r="J41" s="141"/>
      <x:c r="K41" s="141"/>
      <x:c r="L41" s="141"/>
      <x:c r="M41" s="141"/>
      <x:c r="N41" s="141"/>
      <x:c r="O41" s="141"/>
      <x:c r="P41" s="141"/>
      <x:c r="Q41" s="247" t="str">
        <x:f>A12</x:f>
        <x:v>Cádiz CF</x:v>
      </x:c>
      <x:c r="R41" s="247" t="n">
        <x:f>M12</x:f>
        <x:v>44</x:v>
      </x:c>
    </x:row>
    <x:row r="42">
      <x:c r="A42" s="141"/>
      <x:c r="B42" s="141"/>
      <x:c r="C42" s="141"/>
      <x:c r="D42" s="141"/>
      <x:c r="E42" s="141"/>
      <x:c r="F42" s="141"/>
      <x:c r="G42" s="141"/>
      <x:c r="H42" s="141"/>
      <x:c r="I42" s="141"/>
      <x:c r="J42" s="141"/>
      <x:c r="K42" s="141"/>
      <x:c r="L42" s="141"/>
      <x:c r="M42" s="141"/>
      <x:c r="N42" s="141"/>
      <x:c r="O42" s="141"/>
      <x:c r="P42" s="141"/>
      <x:c r="Q42" s="247" t="str">
        <x:f>A13</x:f>
        <x:v>Elche CF</x:v>
      </x:c>
      <x:c r="R42" s="247" t="n">
        <x:f>M13</x:f>
        <x:v>36</x:v>
      </x:c>
    </x:row>
    <x:row r="43">
      <x:c r="A43" s="141"/>
      <x:c r="B43" s="141"/>
      <x:c r="C43" s="141"/>
      <x:c r="D43" s="141"/>
      <x:c r="E43" s="141"/>
      <x:c r="F43" s="141"/>
      <x:c r="G43" s="141"/>
      <x:c r="H43" s="141"/>
      <x:c r="I43" s="141"/>
      <x:c r="J43" s="141"/>
      <x:c r="K43" s="141"/>
      <x:c r="L43" s="141"/>
      <x:c r="M43" s="141"/>
      <x:c r="N43" s="141"/>
      <x:c r="O43" s="141"/>
      <x:c r="P43" s="141"/>
      <x:c r="Q43" s="247" t="str">
        <x:f>A14</x:f>
        <x:v>SD Huesca</x:v>
      </x:c>
      <x:c r="R43" s="247" t="n">
        <x:f>M14</x:f>
        <x:v>34</x:v>
      </x:c>
    </x:row>
    <x:row r="44">
      <x:c r="A44" s="141"/>
      <x:c r="B44" s="141"/>
      <x:c r="C44" s="141"/>
      <x:c r="D44" s="141"/>
      <x:c r="E44" s="141"/>
      <x:c r="F44" s="141"/>
      <x:c r="G44" s="141"/>
      <x:c r="H44" s="141"/>
      <x:c r="I44" s="141"/>
      <x:c r="J44" s="141"/>
      <x:c r="K44" s="141"/>
      <x:c r="L44" s="141"/>
      <x:c r="M44" s="141"/>
      <x:c r="N44" s="141"/>
      <x:c r="O44" s="141"/>
      <x:c r="P44" s="141"/>
      <x:c r="Q44" s="247" t="str">
        <x:f>A15</x:f>
        <x:v>RCD Espanyol</x:v>
      </x:c>
      <x:c r="R44" s="247" t="n">
        <x:f>M15</x:f>
        <x:v>42</x:v>
      </x:c>
    </x:row>
    <x:row r="45">
      <x:c r="A45" s="141"/>
      <x:c r="B45" s="141"/>
      <x:c r="C45" s="141"/>
      <x:c r="D45" s="141"/>
      <x:c r="E45" s="141"/>
      <x:c r="F45" s="141"/>
      <x:c r="G45" s="141"/>
      <x:c r="H45" s="141"/>
      <x:c r="I45" s="141"/>
      <x:c r="J45" s="141"/>
      <x:c r="K45" s="141"/>
      <x:c r="L45" s="141"/>
      <x:c r="M45" s="141"/>
      <x:c r="N45" s="141"/>
      <x:c r="O45" s="141"/>
      <x:c r="P45" s="141"/>
      <x:c r="Q45" s="247" t="str">
        <x:f>A16</x:f>
        <x:v>RCD Mallorca</x:v>
      </x:c>
      <x:c r="R45" s="247" t="n">
        <x:f>M16</x:f>
        <x:v>39</x:v>
      </x:c>
    </x:row>
    <x:row r="46">
      <x:c r="A46" s="141"/>
      <x:c r="B46" s="141"/>
      <x:c r="C46" s="141"/>
      <x:c r="D46" s="141"/>
      <x:c r="E46" s="141"/>
      <x:c r="F46" s="141"/>
      <x:c r="G46" s="141"/>
      <x:c r="H46" s="141"/>
      <x:c r="I46" s="141"/>
      <x:c r="J46" s="141"/>
      <x:c r="K46" s="141"/>
      <x:c r="L46" s="141"/>
      <x:c r="M46" s="141"/>
      <x:c r="N46" s="141"/>
      <x:c r="O46" s="141"/>
      <x:c r="P46" s="141"/>
      <x:c r="Q46" s="247" t="str">
        <x:f>A17</x:f>
        <x:v>Rayo Vallecano</x:v>
      </x:c>
      <x:c r="R46" s="247" t="n">
        <x:f>M17</x:f>
        <x:v>42</x:v>
      </x:c>
    </x:row>
    <x:row r="47">
      <x:c r="A47" s="141"/>
      <x:c r="B47" s="141"/>
      <x:c r="C47" s="141"/>
      <x:c r="D47" s="141"/>
      <x:c r="E47" s="141"/>
      <x:c r="F47" s="141"/>
      <x:c r="G47" s="141"/>
      <x:c r="H47" s="141"/>
      <x:c r="I47" s="141"/>
      <x:c r="J47" s="141"/>
      <x:c r="K47" s="141"/>
      <x:c r="L47" s="141"/>
      <x:c r="M47" s="141"/>
      <x:c r="N47" s="141"/>
      <x:c r="O47" s="141"/>
      <x:c r="P47" s="141"/>
      <x:c r="Q47" s="247" t="str">
        <x:f>A18</x:f>
        <x:v>UD Almería</x:v>
      </x:c>
      <x:c r="R47" s="247" t="n">
        <x:f>M18</x:f>
        <x:v>41</x:v>
      </x:c>
    </x:row>
    <x:row r="48">
      <x:c r="A48" s="141"/>
      <x:c r="B48" s="141"/>
      <x:c r="C48" s="141"/>
      <x:c r="D48" s="141"/>
      <x:c r="E48" s="141"/>
      <x:c r="F48" s="141"/>
      <x:c r="G48" s="141"/>
      <x:c r="H48" s="141"/>
      <x:c r="I48" s="141"/>
      <x:c r="J48" s="141"/>
      <x:c r="K48" s="141"/>
      <x:c r="L48" s="141"/>
      <x:c r="M48" s="141"/>
      <x:c r="N48" s="141"/>
      <x:c r="O48" s="141"/>
      <x:c r="P48" s="141"/>
      <x:c r="Q48" s="247" t="str">
        <x:f>A19</x:f>
        <x:v>Real Valladolid</x:v>
      </x:c>
      <x:c r="R48" s="247" t="n">
        <x:f>M19</x:f>
        <x:v>40</x:v>
      </x:c>
    </x:row>
    <x:row r="49">
      <x:c r="A49" s="141"/>
      <x:c r="B49" s="141"/>
      <x:c r="C49" s="141"/>
      <x:c r="D49" s="141"/>
      <x:c r="E49" s="141"/>
      <x:c r="F49" s="141"/>
      <x:c r="G49" s="141"/>
      <x:c r="H49" s="141"/>
      <x:c r="I49" s="141"/>
      <x:c r="J49" s="141"/>
      <x:c r="K49" s="141"/>
      <x:c r="L49" s="141"/>
      <x:c r="M49" s="141"/>
      <x:c r="N49" s="141"/>
      <x:c r="O49" s="141"/>
      <x:c r="P49" s="141"/>
      <x:c r="Q49" s="247" t="str">
        <x:f>A20</x:f>
        <x:v>Girona FC</x:v>
      </x:c>
      <x:c r="R49" s="247" t="n">
        <x:f>M20</x:f>
        <x:v>49</x:v>
      </x:c>
    </x:row>
    <x:row r="50">
      <x:c r="A50" s="141"/>
      <x:c r="B50" s="141"/>
      <x:c r="C50" s="141"/>
      <x:c r="D50" s="141"/>
      <x:c r="E50" s="141"/>
      <x:c r="F50" s="141"/>
      <x:c r="G50" s="141"/>
      <x:c r="H50" s="141"/>
      <x:c r="I50" s="141"/>
      <x:c r="J50" s="141"/>
      <x:c r="K50" s="141"/>
      <x:c r="L50" s="141"/>
      <x:c r="M50" s="141"/>
      <x:c r="N50" s="141"/>
      <x:c r="O50" s="141"/>
      <x:c r="P50" s="141"/>
      <x:c r="Q50" s="247" t="str">
        <x:f>A21</x:f>
        <x:v>Granada CF</x:v>
      </x:c>
      <x:c r="R50" s="247" t="n">
        <x:f>M21</x:f>
        <x:v>21</x:v>
      </x:c>
    </x:row>
    <x:row r="51">
      <x:c r="A51" s="141"/>
      <x:c r="B51" s="141"/>
      <x:c r="C51" s="141"/>
      <x:c r="D51" s="141"/>
      <x:c r="E51" s="141"/>
      <x:c r="F51" s="141"/>
      <x:c r="G51" s="141"/>
      <x:c r="H51" s="141"/>
      <x:c r="I51" s="141"/>
      <x:c r="J51" s="141"/>
      <x:c r="K51" s="141"/>
      <x:c r="L51" s="141"/>
      <x:c r="M51" s="141"/>
      <x:c r="N51" s="141"/>
      <x:c r="O51" s="141"/>
      <x:c r="P51" s="141"/>
      <x:c r="Q51" s="247" t="str">
        <x:f>A22</x:f>
        <x:v>UD Las Palmas</x:v>
      </x:c>
      <x:c r="R51" s="247" t="n">
        <x:f>M22</x:f>
        <x:v>40</x:v>
      </x:c>
    </x:row>
    <x:row r="52">
      <x:c r="A52" s="141"/>
      <x:c r="B52" s="141"/>
      <x:c r="C52" s="141"/>
      <x:c r="D52" s="141"/>
      <x:c r="E52" s="141"/>
      <x:c r="F52" s="141"/>
      <x:c r="G52" s="141"/>
      <x:c r="H52" s="141"/>
      <x:c r="I52" s="141"/>
      <x:c r="J52" s="141"/>
      <x:c r="K52" s="141"/>
      <x:c r="L52" s="141"/>
      <x:c r="M52" s="141"/>
      <x:c r="N52" s="141"/>
      <x:c r="O52" s="141"/>
      <x:c r="P52" s="141"/>
      <x:c r="Q52" s="247" t="str">
        <x:f>A23</x:f>
        <x:v>Deportivo Alavés</x:v>
      </x:c>
      <x:c r="R52" s="247" t="n">
        <x:f>M23</x:f>
        <x:v>46</x:v>
      </x:c>
    </x:row>
    <x:row r="53">
      <x:c r="A53" s="141"/>
      <x:c r="B53" s="141"/>
      <x:c r="C53" s="141"/>
      <x:c r="D53" s="141"/>
      <x:c r="E53" s="141"/>
      <x:c r="F53" s="141"/>
      <x:c r="G53" s="141"/>
      <x:c r="H53" s="141"/>
      <x:c r="I53" s="141"/>
      <x:c r="J53" s="141"/>
      <x:c r="K53" s="141"/>
      <x:c r="L53" s="141"/>
      <x:c r="M53" s="141"/>
      <x:c r="N53" s="141"/>
      <x:c r="O53" s="141"/>
      <x:c r="P53" s="141"/>
      <x:c r="Q53" s="247" t="str">
        <x:f>A24</x:f>
        <x:v>CD Leganés</x:v>
      </x:c>
      <x:c r="R53" s="247" t="n">
        <x:f>M24</x:f>
        <x:v>40</x:v>
      </x:c>
    </x:row>
    <x:row r="54">
      <x:c r="A54" s="141"/>
      <x:c r="B54" s="141"/>
      <x:c r="C54" s="141"/>
      <x:c r="D54" s="141"/>
      <x:c r="E54" s="141"/>
      <x:c r="F54" s="141"/>
      <x:c r="G54" s="141"/>
      <x:c r="H54" s="141"/>
      <x:c r="I54" s="141"/>
      <x:c r="J54" s="141"/>
      <x:c r="K54" s="141"/>
      <x:c r="L54" s="141"/>
      <x:c r="M54" s="141"/>
      <x:c r="N54" s="141"/>
      <x:c r="O54" s="141"/>
      <x:c r="P54" s="141"/>
      <x:c r="Q54" s="247" t="str">
        <x:f>A25</x:f>
        <x:v>Real Valladolid</x:v>
      </x:c>
      <x:c r="R54" s="247" t="n">
        <x:f>M25</x:f>
        <x:v>16</x:v>
      </x:c>
    </x:row>
    <x:row r="55">
      <x:c r="A55" s="141"/>
      <x:c r="B55" s="141"/>
      <x:c r="C55" s="141"/>
      <x:c r="D55" s="141"/>
      <x:c r="E55" s="141"/>
      <x:c r="F55" s="141"/>
      <x:c r="G55" s="141"/>
      <x:c r="H55" s="141"/>
      <x:c r="I55" s="141"/>
      <x:c r="J55" s="141"/>
      <x:c r="K55" s="141"/>
      <x:c r="L55" s="141"/>
      <x:c r="M55" s="141"/>
      <x:c r="N55" s="141"/>
      <x:c r="O55" s="141"/>
      <x:c r="P55" s="141"/>
      <x:c r="Q55" s="247" t="str">
        <x:f>A26</x:f>
        <x:v>RCD Espanyol</x:v>
      </x:c>
      <x:c r="R55" s="247" t="n">
        <x:f>M26</x:f>
        <x:v>42</x:v>
      </x:c>
    </x:row>
    <x:row r="56">
      <x:c r="A56" s="141"/>
      <x:c r="B56" s="141"/>
      <x:c r="C56" s="141"/>
      <x:c r="D56" s="141"/>
      <x:c r="E56" s="141"/>
      <x:c r="F56" s="141"/>
      <x:c r="G56" s="141"/>
      <x:c r="H56" s="141"/>
      <x:c r="I56" s="141"/>
      <x:c r="J56" s="141"/>
      <x:c r="K56" s="141"/>
      <x:c r="L56" s="141"/>
      <x:c r="M56" s="141"/>
      <x:c r="N56" s="141"/>
      <x:c r="O56" s="141"/>
      <x:c r="P56" s="141"/>
      <x:c r="Q56" s="247" t="str">
        <x:f>A27</x:f>
        <x:v>Levante UD</x:v>
      </x:c>
      <x:c r="R56" s="247" t="n">
        <x:f>M27</x:f>
        <x:v>42</x:v>
      </x:c>
    </x:row>
    <x:row r="57">
      <x:c r="A57" s="141"/>
      <x:c r="B57" s="141"/>
      <x:c r="C57" s="141"/>
      <x:c r="D57" s="141"/>
      <x:c r="E57" s="141"/>
      <x:c r="F57" s="141"/>
      <x:c r="G57" s="141"/>
      <x:c r="H57" s="141"/>
      <x:c r="I57" s="141"/>
      <x:c r="J57" s="141"/>
      <x:c r="K57" s="141"/>
      <x:c r="L57" s="141"/>
      <x:c r="M57" s="141"/>
      <x:c r="N57" s="141"/>
      <x:c r="O57" s="141"/>
      <x:c r="P57" s="141"/>
      <x:c r="Q57" s="247" t="str">
        <x:f>A28</x:f>
        <x:v>Elche CF</x:v>
      </x:c>
      <x:c r="R57" s="247" t="n">
        <x:f>M28</x:f>
        <x:v>43</x:v>
      </x:c>
    </x:row>
    <x:row r="58">
      <x:c r="A58" s="141"/>
      <x:c r="B58" s="141"/>
      <x:c r="C58" s="141"/>
      <x:c r="D58" s="141"/>
      <x:c r="E58" s="141"/>
      <x:c r="F58" s="141"/>
      <x:c r="G58" s="141"/>
      <x:c r="H58" s="141"/>
      <x:c r="I58" s="141"/>
      <x:c r="J58" s="141"/>
      <x:c r="K58" s="141"/>
      <x:c r="L58" s="141"/>
      <x:c r="M58" s="141"/>
      <x:c r="N58" s="141"/>
      <x:c r="O58" s="141"/>
      <x:c r="P58" s="141"/>
      <x:c r="Q58" s="248" t="str">
        <x:f>A29</x:f>
        <x:v>Real Oviedo</x:v>
      </x:c>
      <x:c r="R58" s="248" t="n">
        <x:f>M29</x:f>
        <x:v>29</x:v>
      </x:c>
    </x:row>
  </x:sheetData>
  <x:mergeCells>
    <x:mergeCell ref="A1:P1"/>
  </x:mergeCells>
  <x:conditionalFormatting sqref="O3:O29">
    <x:cfRule type="cellIs" dxfId="1" priority="1" operator="equal">
      <x:formula>TRUE</x:formula>
    </x:cfRule>
    <x:cfRule type="cellIs" dxfId="2" priority="2" operator="equal">
      <x:formula>FALSE</x:formula>
    </x:cfRule>
  </x:conditionalFormatting>
  <x:pageMargins left="0.7" right="0.7" top="0.75" bottom="0.75" header="0.3" footer="0.3"/>
  <x:drawing xmlns:r="http://schemas.openxmlformats.org/officeDocument/2006/relationships" r:id="R5e17fbe5b1a443a9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8" max="8" width="16" hidden="0" customWidth="1"/>
    <x:col min="9" max="9" width="16" hidden="0" customWidth="1"/>
  </x:cols>
  <x:sheetData>
    <x:row r="1" ht="34" customHeight="1">
      <x:c r="A1" s="139" t="str">
        <x:v>Mercado y estrategia del favorito</x:v>
      </x:c>
      <x:c r="B1" s="139" t="str">
        <x:v>Mercado y estrategia del favorito</x:v>
      </x:c>
      <x:c r="C1" s="139" t="str">
        <x:v>Mercado y estrategia del favorito</x:v>
      </x:c>
      <x:c r="D1" s="139" t="str">
        <x:v>Mercado y estrategia del favorito</x:v>
      </x:c>
      <x:c r="E1" s="139" t="str">
        <x:v>Mercado y estrategia del favorito</x:v>
      </x:c>
      <x:c r="F1" s="139" t="str">
        <x:v>Mercado y estrategia del favorito</x:v>
      </x:c>
      <x:c r="G1" s="141"/>
      <x:c r="H1" s="141"/>
      <x:c r="I1" s="141"/>
    </x:row>
    <x:row r="2" ht="30" customHeight="1">
      <x:c r="A2" s="228" t="str">
        <x:v>season</x:v>
      </x:c>
      <x:c r="B2" s="229" t="str">
        <x:v>bets</x:v>
      </x:c>
      <x:c r="C2" s="229" t="str">
        <x:v>favorite_hit_rate</x:v>
      </x:c>
      <x:c r="D2" s="229" t="str">
        <x:v>average_favorite_odds</x:v>
      </x:c>
      <x:c r="E2" s="229" t="str">
        <x:v>flat_profit_units</x:v>
      </x:c>
      <x:c r="F2" s="230" t="str">
        <x:v>roi</x:v>
      </x:c>
      <x:c r="G2" s="141"/>
      <x:c r="H2" s="141"/>
      <x:c r="I2" s="141"/>
    </x:row>
    <x:row r="3">
      <x:c r="A3" s="246" t="str">
        <x:v>2016/17</x:v>
      </x:c>
      <x:c r="B3" s="246" t="n">
        <x:v>380</x:v>
      </x:c>
      <x:c r="C3" s="234" t="n">
        <x:v>0.5842105263157895</x:v>
      </x:c>
      <x:c r="D3" s="233" t="n">
        <x:v>1.827684210526316</x:v>
      </x:c>
      <x:c r="E3" s="233" t="n">
        <x:v>-2.53</x:v>
      </x:c>
      <x:c r="F3" s="234" t="n">
        <x:v>-0.006657894736842105</x:v>
      </x:c>
      <x:c r="G3" s="141"/>
      <x:c r="H3" s="141"/>
      <x:c r="I3" s="141"/>
    </x:row>
    <x:row r="4">
      <x:c r="A4" s="247" t="str">
        <x:v>2017/18</x:v>
      </x:c>
      <x:c r="B4" s="247" t="n">
        <x:v>380</x:v>
      </x:c>
      <x:c r="C4" s="239" t="n">
        <x:v>0.5473684210526316</x:v>
      </x:c>
      <x:c r="D4" s="238" t="n">
        <x:v>1.8684999999999998</x:v>
      </x:c>
      <x:c r="E4" s="238" t="n">
        <x:v>-13.690000000000001</x:v>
      </x:c>
      <x:c r="F4" s="239" t="n">
        <x:v>-0.03602631578947369</x:v>
      </x:c>
      <x:c r="G4" s="141"/>
      <x:c r="H4" s="141"/>
      <x:c r="I4" s="141"/>
    </x:row>
    <x:row r="5">
      <x:c r="A5" s="247" t="str">
        <x:v>2018/19</x:v>
      </x:c>
      <x:c r="B5" s="247" t="n">
        <x:v>380</x:v>
      </x:c>
      <x:c r="C5" s="239" t="n">
        <x:v>0.48157894736842105</x:v>
      </x:c>
      <x:c r="D5" s="238" t="n">
        <x:v>1.917842105263158</x:v>
      </x:c>
      <x:c r="E5" s="238" t="n">
        <x:v>-53.67</x:v>
      </x:c>
      <x:c r="F5" s="239" t="n">
        <x:v>-0.14123684210526316</x:v>
      </x:c>
      <x:c r="G5" s="141"/>
      <x:c r="H5" s="141"/>
      <x:c r="I5" s="141"/>
    </x:row>
    <x:row r="6">
      <x:c r="A6" s="247" t="str">
        <x:v>2019/20</x:v>
      </x:c>
      <x:c r="B6" s="247" t="n">
        <x:v>380</x:v>
      </x:c>
      <x:c r="C6" s="239" t="n">
        <x:v>0.5157894736842106</x:v>
      </x:c>
      <x:c r="D6" s="238" t="n">
        <x:v>1.9751315789473682</x:v>
      </x:c>
      <x:c r="E6" s="238" t="n">
        <x:v>-13.84</x:v>
      </x:c>
      <x:c r="F6" s="239" t="n">
        <x:v>-0.036421052631578944</x:v>
      </x:c>
      <x:c r="G6" s="141"/>
      <x:c r="H6" s="141"/>
      <x:c r="I6" s="141"/>
    </x:row>
    <x:row r="7">
      <x:c r="A7" s="247" t="str">
        <x:v>2020/21</x:v>
      </x:c>
      <x:c r="B7" s="247" t="n">
        <x:v>380</x:v>
      </x:c>
      <x:c r="C7" s="239" t="n">
        <x:v>0.5342105263157895</x:v>
      </x:c>
      <x:c r="D7" s="238" t="n">
        <x:v>1.9766842105263154</x:v>
      </x:c>
      <x:c r="E7" s="238" t="n">
        <x:v>1.4499999999999975</x:v>
      </x:c>
      <x:c r="F7" s="239" t="n">
        <x:v>0.003815789473684204</x:v>
      </x:c>
      <x:c r="G7" s="141"/>
      <x:c r="H7" s="141"/>
      <x:c r="I7" s="141"/>
    </x:row>
    <x:row r="8">
      <x:c r="A8" s="247" t="str">
        <x:v>2021/22</x:v>
      </x:c>
      <x:c r="B8" s="247" t="n">
        <x:v>380</x:v>
      </x:c>
      <x:c r="C8" s="239" t="n">
        <x:v>0.5157894736842106</x:v>
      </x:c>
      <x:c r="D8" s="238" t="n">
        <x:v>1.9927105263157896</x:v>
      </x:c>
      <x:c r="E8" s="238" t="n">
        <x:v>-12.189999999999998</x:v>
      </x:c>
      <x:c r="F8" s="239" t="n">
        <x:v>-0.03207894736842105</x:v>
      </x:c>
      <x:c r="G8" s="141"/>
      <x:c r="H8" s="141"/>
      <x:c r="I8" s="141"/>
    </x:row>
    <x:row r="9">
      <x:c r="A9" s="247" t="str">
        <x:v>2022/23</x:v>
      </x:c>
      <x:c r="B9" s="247" t="n">
        <x:v>380</x:v>
      </x:c>
      <x:c r="C9" s="239" t="n">
        <x:v>0.5447368421052632</x:v>
      </x:c>
      <x:c r="D9" s="238" t="n">
        <x:v>1.993578947368421</x:v>
      </x:c>
      <x:c r="E9" s="238" t="n">
        <x:v>14.510000000000002</x:v>
      </x:c>
      <x:c r="F9" s="239" t="n">
        <x:v>0.03818421052631579</x:v>
      </x:c>
      <x:c r="G9" s="141"/>
      <x:c r="H9" s="141"/>
      <x:c r="I9" s="141"/>
    </x:row>
    <x:row r="10">
      <x:c r="A10" s="247" t="str">
        <x:v>2023/24</x:v>
      </x:c>
      <x:c r="B10" s="247" t="n">
        <x:v>380</x:v>
      </x:c>
      <x:c r="C10" s="239" t="n">
        <x:v>0.5552631578947368</x:v>
      </x:c>
      <x:c r="D10" s="238" t="n">
        <x:v>1.9678421052631578</x:v>
      </x:c>
      <x:c r="E10" s="238" t="n">
        <x:v>15.069999999999999</x:v>
      </x:c>
      <x:c r="F10" s="239" t="n">
        <x:v>0.0396578947368421</x:v>
      </x:c>
      <x:c r="G10" s="141"/>
      <x:c r="H10" s="141"/>
      <x:c r="I10" s="141"/>
    </x:row>
    <x:row r="11">
      <x:c r="A11" s="247" t="str">
        <x:v>2024/25</x:v>
      </x:c>
      <x:c r="B11" s="247" t="n">
        <x:v>380</x:v>
      </x:c>
      <x:c r="C11" s="239" t="n">
        <x:v>0.55</x:v>
      </x:c>
      <x:c r="D11" s="238" t="n">
        <x:v>1.9446578947368423</x:v>
      </x:c>
      <x:c r="E11" s="238" t="n">
        <x:v>2.6100000000000003</x:v>
      </x:c>
      <x:c r="F11" s="239" t="n">
        <x:v>0.00686842105263158</x:v>
      </x:c>
      <x:c r="G11" s="141"/>
      <x:c r="H11" s="141"/>
      <x:c r="I11" s="141"/>
    </x:row>
    <x:row r="12">
      <x:c r="A12" s="247" t="str">
        <x:v>2025/26</x:v>
      </x:c>
      <x:c r="B12" s="247" t="n">
        <x:v>380</x:v>
      </x:c>
      <x:c r="C12" s="239" t="n">
        <x:v>0.5447368421052632</x:v>
      </x:c>
      <x:c r="D12" s="238" t="n">
        <x:v>1.9700526315789473</x:v>
      </x:c>
      <x:c r="E12" s="238" t="n">
        <x:v>5.709999999999998</x:v>
      </x:c>
      <x:c r="F12" s="239" t="n">
        <x:v>0.01502631578947368</x:v>
      </x:c>
      <x:c r="G12" s="141"/>
      <x:c r="H12" s="141"/>
      <x:c r="I12" s="141"/>
    </x:row>
    <x:row r="13">
      <x:c r="A13" s="248" t="str">
        <x:v>TOTAL</x:v>
      </x:c>
      <x:c r="B13" s="248" t="n">
        <x:v>3800</x:v>
      </x:c>
      <x:c r="C13" s="244" t="n">
        <x:v>0.5373684210526316</x:v>
      </x:c>
      <x:c r="D13" s="243" t="n">
        <x:v>1.9434684210526316</x:v>
      </x:c>
      <x:c r="E13" s="243" t="n">
        <x:v>-56.57000000000002</x:v>
      </x:c>
      <x:c r="F13" s="244" t="n">
        <x:v>-0.014886842105263164</x:v>
      </x:c>
      <x:c r="G13" s="141"/>
      <x:c r="H13" s="141"/>
      <x:c r="I13" s="141"/>
    </x:row>
    <x:row r="14">
      <x:c r="A14" s="163" t="str">
        <x:v>Calibración de probabilidades</x:v>
      </x:c>
      <x:c r="B14" s="163" t="str">
        <x:v>Calibración de probabilidades</x:v>
      </x:c>
      <x:c r="C14" s="163" t="str">
        <x:v>Calibración de probabilidades</x:v>
      </x:c>
      <x:c r="D14" s="163" t="str">
        <x:v>Calibración de probabilidades</x:v>
      </x:c>
      <x:c r="E14" s="163" t="str">
        <x:v>Calibración de probabilidades</x:v>
      </x:c>
      <x:c r="F14" s="163" t="str">
        <x:v>Calibración de probabilidades</x:v>
      </x:c>
      <x:c r="G14" s="141"/>
      <x:c r="H14" s="141"/>
      <x:c r="I14" s="141"/>
    </x:row>
    <x:row r="15" ht="30" customHeight="1">
      <x:c r="A15" s="228" t="str">
        <x:v>split</x:v>
      </x:c>
      <x:c r="B15" s="229" t="str">
        <x:v>bin</x:v>
      </x:c>
      <x:c r="C15" s="229" t="str">
        <x:v>predictions</x:v>
      </x:c>
      <x:c r="D15" s="229" t="str">
        <x:v>mean_predicted_probability</x:v>
      </x:c>
      <x:c r="E15" s="229" t="str">
        <x:v>observed_rate</x:v>
      </x:c>
      <x:c r="F15" s="230" t="str">
        <x:v>calibration_gap</x:v>
      </x:c>
      <x:c r="G15" s="141"/>
      <x:c r="H15" s="141"/>
      <x:c r="I15" s="141"/>
    </x:row>
    <x:row r="16">
      <x:c r="A16" s="246" t="str">
        <x:v>all</x:v>
      </x:c>
      <x:c r="B16" s="246" t="str">
        <x:v>0–10%</x:v>
      </x:c>
      <x:c r="C16" s="246" t="n">
        <x:v>383</x:v>
      </x:c>
      <x:c r="D16" s="234" t="n">
        <x:v>0.07249988404866818</x:v>
      </x:c>
      <x:c r="E16" s="234" t="n">
        <x:v>0.07049608355091384</x:v>
      </x:c>
      <x:c r="F16" s="234" t="n">
        <x:v>-0.0020038004977543378</x:v>
      </x:c>
      <x:c r="G16" s="141"/>
      <x:c r="H16" s="141"/>
      <x:c r="I16" s="141"/>
    </x:row>
    <x:row r="17">
      <x:c r="A17" s="247" t="str">
        <x:v>all</x:v>
      </x:c>
      <x:c r="B17" s="247" t="str">
        <x:v>10–20%</x:v>
      </x:c>
      <x:c r="C17" s="247" t="n">
        <x:v>1564</x:v>
      </x:c>
      <x:c r="D17" s="239" t="n">
        <x:v>0.15629458918555436</x:v>
      </x:c>
      <x:c r="E17" s="239" t="n">
        <x:v>0.13618925831202047</x:v>
      </x:c>
      <x:c r="F17" s="239" t="n">
        <x:v>-0.02010533087353389</x:v>
      </x:c>
      <x:c r="G17" s="141"/>
      <x:c r="H17" s="141"/>
      <x:c r="I17" s="141"/>
    </x:row>
    <x:row r="18">
      <x:c r="A18" s="247" t="str">
        <x:v>all</x:v>
      </x:c>
      <x:c r="B18" s="247" t="str">
        <x:v>20–30%</x:v>
      </x:c>
      <x:c r="C18" s="247" t="n">
        <x:v>4155</x:v>
      </x:c>
      <x:c r="D18" s="239" t="n">
        <x:v>0.2596163238044722</x:v>
      </x:c>
      <x:c r="E18" s="239" t="n">
        <x:v>0.249338146811071</x:v>
      </x:c>
      <x:c r="F18" s="239" t="n">
        <x:v>-0.010278176993401195</x:v>
      </x:c>
      <x:c r="G18" s="141"/>
      <x:c r="H18" s="141"/>
      <x:c r="I18" s="141"/>
    </x:row>
    <x:row r="19">
      <x:c r="A19" s="247" t="str">
        <x:v>all</x:v>
      </x:c>
      <x:c r="B19" s="247" t="str">
        <x:v>30–40%</x:v>
      </x:c>
      <x:c r="C19" s="247" t="n">
        <x:v>2286</x:v>
      </x:c>
      <x:c r="D19" s="239" t="n">
        <x:v>0.3389069048137157</x:v>
      </x:c>
      <x:c r="E19" s="239" t="n">
        <x:v>0.34033245844269466</x:v>
      </x:c>
      <x:c r="F19" s="239" t="n">
        <x:v>0.0014255536289789483</x:v>
      </x:c>
      <x:c r="G19" s="141"/>
      <x:c r="H19" s="141"/>
      <x:c r="I19" s="141"/>
    </x:row>
    <x:row r="20" ht="30" customHeight="1">
      <x:c r="A20" s="247" t="str">
        <x:v>all</x:v>
      </x:c>
      <x:c r="B20" s="247" t="str">
        <x:v>40–50%</x:v>
      </x:c>
      <x:c r="C20" s="247" t="n">
        <x:v>1219</x:v>
      </x:c>
      <x:c r="D20" s="239" t="n">
        <x:v>0.4472562187124227</x:v>
      </x:c>
      <x:c r="E20" s="239" t="n">
        <x:v>0.4725184577522559</x:v>
      </x:c>
      <x:c r="F20" s="239" t="n">
        <x:v>0.025262239039833212</x:v>
      </x:c>
      <x:c r="G20" s="141"/>
      <x:c r="H20" s="228" t="str">
        <x:v>Temporada</x:v>
      </x:c>
      <x:c r="I20" s="230" t="str">
        <x:v>ROI</x:v>
      </x:c>
    </x:row>
    <x:row r="21">
      <x:c r="A21" s="247" t="str">
        <x:v>all</x:v>
      </x:c>
      <x:c r="B21" s="247" t="str">
        <x:v>50–60%</x:v>
      </x:c>
      <x:c r="C21" s="247" t="n">
        <x:v>862</x:v>
      </x:c>
      <x:c r="D21" s="239" t="n">
        <x:v>0.5486287093584427</x:v>
      </x:c>
      <x:c r="E21" s="239" t="n">
        <x:v>0.5498839907192575</x:v>
      </x:c>
      <x:c r="F21" s="239" t="n">
        <x:v>0.001255281360814875</x:v>
      </x:c>
      <x:c r="G21" s="141"/>
      <x:c r="H21" s="246" t="str">
        <x:f>A3</x:f>
        <x:v>2016/17</x:v>
      </x:c>
      <x:c r="I21" s="234" t="n">
        <x:f>F3</x:f>
        <x:v>-0.006657894736842105</x:v>
      </x:c>
    </x:row>
    <x:row r="22">
      <x:c r="A22" s="247" t="str">
        <x:v>all</x:v>
      </x:c>
      <x:c r="B22" s="247" t="str">
        <x:v>60–70%</x:v>
      </x:c>
      <x:c r="C22" s="247" t="n">
        <x:v>526</x:v>
      </x:c>
      <x:c r="D22" s="239" t="n">
        <x:v>0.6478822116525514</x:v>
      </x:c>
      <x:c r="E22" s="239" t="n">
        <x:v>0.714828897338403</x:v>
      </x:c>
      <x:c r="F22" s="239" t="n">
        <x:v>0.0669466856858516</x:v>
      </x:c>
      <x:c r="G22" s="141"/>
      <x:c r="H22" s="247" t="str">
        <x:f>A4</x:f>
        <x:v>2017/18</x:v>
      </x:c>
      <x:c r="I22" s="239" t="n">
        <x:f>F4</x:f>
        <x:v>-0.03602631578947369</x:v>
      </x:c>
    </x:row>
    <x:row r="23">
      <x:c r="A23" s="247" t="str">
        <x:v>all</x:v>
      </x:c>
      <x:c r="B23" s="247" t="str">
        <x:v>70–80%</x:v>
      </x:c>
      <x:c r="C23" s="247" t="n">
        <x:v>274</x:v>
      </x:c>
      <x:c r="D23" s="239" t="n">
        <x:v>0.7485328256356725</x:v>
      </x:c>
      <x:c r="E23" s="239" t="n">
        <x:v>0.7627737226277372</x:v>
      </x:c>
      <x:c r="F23" s="239" t="n">
        <x:v>0.014240896992064767</x:v>
      </x:c>
      <x:c r="G23" s="141"/>
      <x:c r="H23" s="247" t="str">
        <x:f>A5</x:f>
        <x:v>2018/19</x:v>
      </x:c>
      <x:c r="I23" s="239" t="n">
        <x:f>F5</x:f>
        <x:v>-0.14123684210526316</x:v>
      </x:c>
    </x:row>
    <x:row r="24">
      <x:c r="A24" s="247" t="str">
        <x:v>all</x:v>
      </x:c>
      <x:c r="B24" s="247" t="str">
        <x:v>80–90%</x:v>
      </x:c>
      <x:c r="C24" s="247" t="n">
        <x:v>124</x:v>
      </x:c>
      <x:c r="D24" s="239" t="n">
        <x:v>0.8383376238994188</x:v>
      </x:c>
      <x:c r="E24" s="239" t="n">
        <x:v>0.8467741935483871</x:v>
      </x:c>
      <x:c r="F24" s="239" t="n">
        <x:v>0.008436569648968328</x:v>
      </x:c>
      <x:c r="G24" s="141"/>
      <x:c r="H24" s="247" t="str">
        <x:f>A6</x:f>
        <x:v>2019/20</x:v>
      </x:c>
      <x:c r="I24" s="239" t="n">
        <x:f>F6</x:f>
        <x:v>-0.036421052631578944</x:v>
      </x:c>
    </x:row>
    <x:row r="25">
      <x:c r="A25" s="247" t="str">
        <x:v>all</x:v>
      </x:c>
      <x:c r="B25" s="247" t="str">
        <x:v>90–100%</x:v>
      </x:c>
      <x:c r="C25" s="247" t="n">
        <x:v>7</x:v>
      </x:c>
      <x:c r="D25" s="239" t="n">
        <x:v>0.9113737310073825</x:v>
      </x:c>
      <x:c r="E25" s="239" t="n">
        <x:v>0.8571428571428571</x:v>
      </x:c>
      <x:c r="F25" s="239" t="n">
        <x:v>-0.05423087386452541</x:v>
      </x:c>
      <x:c r="G25" s="141"/>
      <x:c r="H25" s="247" t="str">
        <x:f>A7</x:f>
        <x:v>2020/21</x:v>
      </x:c>
      <x:c r="I25" s="239" t="n">
        <x:f>F7</x:f>
        <x:v>0.003815789473684204</x:v>
      </x:c>
    </x:row>
    <x:row r="26">
      <x:c r="A26" s="247" t="str">
        <x:v>train</x:v>
      </x:c>
      <x:c r="B26" s="247" t="str">
        <x:v>0–10%</x:v>
      </x:c>
      <x:c r="C26" s="247" t="n">
        <x:v>291</x:v>
      </x:c>
      <x:c r="D26" s="239" t="n">
        <x:v>0.07029079720995145</x:v>
      </x:c>
      <x:c r="E26" s="239" t="n">
        <x:v>0.07903780068728522</x:v>
      </x:c>
      <x:c r="F26" s="239" t="n">
        <x:v>0.008747003477333773</x:v>
      </x:c>
      <x:c r="G26" s="141"/>
      <x:c r="H26" s="247" t="str">
        <x:f>A8</x:f>
        <x:v>2021/22</x:v>
      </x:c>
      <x:c r="I26" s="239" t="n">
        <x:f>F8</x:f>
        <x:v>-0.03207894736842105</x:v>
      </x:c>
    </x:row>
    <x:row r="27">
      <x:c r="A27" s="247" t="str">
        <x:v>train</x:v>
      </x:c>
      <x:c r="B27" s="247" t="str">
        <x:v>10–20%</x:v>
      </x:c>
      <x:c r="C27" s="247" t="n">
        <x:v>1103</x:v>
      </x:c>
      <x:c r="D27" s="239" t="n">
        <x:v>0.15528694807117568</x:v>
      </x:c>
      <x:c r="E27" s="239" t="n">
        <x:v>0.14505893019038985</x:v>
      </x:c>
      <x:c r="F27" s="239" t="n">
        <x:v>-0.010228017880785839</x:v>
      </x:c>
      <x:c r="G27" s="141"/>
      <x:c r="H27" s="247" t="str">
        <x:f>A9</x:f>
        <x:v>2022/23</x:v>
      </x:c>
      <x:c r="I27" s="239" t="n">
        <x:f>F9</x:f>
        <x:v>0.03818421052631579</x:v>
      </x:c>
    </x:row>
    <x:row r="28">
      <x:c r="A28" s="247" t="str">
        <x:v>train</x:v>
      </x:c>
      <x:c r="B28" s="247" t="str">
        <x:v>20–30%</x:v>
      </x:c>
      <x:c r="C28" s="247" t="n">
        <x:v>2932</x:v>
      </x:c>
      <x:c r="D28" s="239" t="n">
        <x:v>0.26015853931889404</x:v>
      </x:c>
      <x:c r="E28" s="239" t="n">
        <x:v>0.25102319236016374</x:v>
      </x:c>
      <x:c r="F28" s="239" t="n">
        <x:v>-0.009135346958730306</x:v>
      </x:c>
      <x:c r="G28" s="141"/>
      <x:c r="H28" s="247" t="str">
        <x:f>A10</x:f>
        <x:v>2023/24</x:v>
      </x:c>
      <x:c r="I28" s="239" t="n">
        <x:f>F10</x:f>
        <x:v>0.0396578947368421</x:v>
      </x:c>
    </x:row>
    <x:row r="29">
      <x:c r="A29" s="247" t="str">
        <x:v>train</x:v>
      </x:c>
      <x:c r="B29" s="247" t="str">
        <x:v>30–40%</x:v>
      </x:c>
      <x:c r="C29" s="247" t="n">
        <x:v>1533</x:v>
      </x:c>
      <x:c r="D29" s="239" t="n">
        <x:v>0.33924442077852324</x:v>
      </x:c>
      <x:c r="E29" s="239" t="n">
        <x:v>0.33724722765818654</x:v>
      </x:c>
      <x:c r="F29" s="239" t="n">
        <x:v>-0.0019971931203366933</x:v>
      </x:c>
      <x:c r="G29" s="141"/>
      <x:c r="H29" s="247" t="str">
        <x:f>A11</x:f>
        <x:v>2024/25</x:v>
      </x:c>
      <x:c r="I29" s="239" t="n">
        <x:f>F11</x:f>
        <x:v>0.00686842105263158</x:v>
      </x:c>
    </x:row>
    <x:row r="30">
      <x:c r="A30" s="247" t="str">
        <x:v>train</x:v>
      </x:c>
      <x:c r="B30" s="247" t="str">
        <x:v>40–50%</x:v>
      </x:c>
      <x:c r="C30" s="247" t="n">
        <x:v>848</x:v>
      </x:c>
      <x:c r="D30" s="239" t="n">
        <x:v>0.44770216401145885</x:v>
      </x:c>
      <x:c r="E30" s="239" t="n">
        <x:v>0.47287735849056606</x:v>
      </x:c>
      <x:c r="F30" s="239" t="n">
        <x:v>0.02517519447910721</x:v>
      </x:c>
      <x:c r="G30" s="141"/>
      <x:c r="H30" s="248" t="str">
        <x:f>A12</x:f>
        <x:v>2025/26</x:v>
      </x:c>
      <x:c r="I30" s="244" t="n">
        <x:f>F12</x:f>
        <x:v>0.01502631578947368</x:v>
      </x:c>
    </x:row>
    <x:row r="31">
      <x:c r="A31" s="247" t="str">
        <x:v>train</x:v>
      </x:c>
      <x:c r="B31" s="247" t="str">
        <x:v>50–60%</x:v>
      </x:c>
      <x:c r="C31" s="247" t="n">
        <x:v>593</x:v>
      </x:c>
      <x:c r="D31" s="239" t="n">
        <x:v>0.5489602397708704</x:v>
      </x:c>
      <x:c r="E31" s="239" t="n">
        <x:v>0.5430016863406408</x:v>
      </x:c>
      <x:c r="F31" s="239" t="n">
        <x:v>-0.005958553430229552</x:v>
      </x:c>
      <x:c r="G31" s="141"/>
      <x:c r="H31" s="141"/>
      <x:c r="I31" s="141"/>
    </x:row>
    <x:row r="32">
      <x:c r="A32" s="247" t="str">
        <x:v>train</x:v>
      </x:c>
      <x:c r="B32" s="247" t="str">
        <x:v>60–70%</x:v>
      </x:c>
      <x:c r="C32" s="247" t="n">
        <x:v>393</x:v>
      </x:c>
      <x:c r="D32" s="239" t="n">
        <x:v>0.6482693882523048</x:v>
      </x:c>
      <x:c r="E32" s="239" t="n">
        <x:v>0.7251908396946565</x:v>
      </x:c>
      <x:c r="F32" s="239" t="n">
        <x:v>0.07692145144235163</x:v>
      </x:c>
      <x:c r="G32" s="141"/>
      <x:c r="H32" s="141"/>
      <x:c r="I32" s="141"/>
    </x:row>
    <x:row r="33">
      <x:c r="A33" s="247" t="str">
        <x:v>train</x:v>
      </x:c>
      <x:c r="B33" s="247" t="str">
        <x:v>70–80%</x:v>
      </x:c>
      <x:c r="C33" s="247" t="n">
        <x:v>179</x:v>
      </x:c>
      <x:c r="D33" s="239" t="n">
        <x:v>0.749268419210843</x:v>
      </x:c>
      <x:c r="E33" s="239" t="n">
        <x:v>0.7039106145251397</x:v>
      </x:c>
      <x:c r="F33" s="239" t="n">
        <x:v>-0.045357804685703274</x:v>
      </x:c>
      <x:c r="G33" s="141"/>
      <x:c r="H33" s="141"/>
      <x:c r="I33" s="141"/>
    </x:row>
    <x:row r="34">
      <x:c r="A34" s="247" t="str">
        <x:v>train</x:v>
      </x:c>
      <x:c r="B34" s="247" t="str">
        <x:v>80–90%</x:v>
      </x:c>
      <x:c r="C34" s="247" t="n">
        <x:v>101</x:v>
      </x:c>
      <x:c r="D34" s="239" t="n">
        <x:v>0.8412272272092276</x:v>
      </x:c>
      <x:c r="E34" s="239" t="n">
        <x:v>0.8316831683168316</x:v>
      </x:c>
      <x:c r="F34" s="239" t="n">
        <x:v>-0.009544058892395957</x:v>
      </x:c>
      <x:c r="G34" s="141"/>
      <x:c r="H34" s="141"/>
      <x:c r="I34" s="141"/>
    </x:row>
    <x:row r="35">
      <x:c r="A35" s="247" t="str">
        <x:v>train</x:v>
      </x:c>
      <x:c r="B35" s="247" t="str">
        <x:v>90–100%</x:v>
      </x:c>
      <x:c r="C35" s="247" t="n">
        <x:v>7</x:v>
      </x:c>
      <x:c r="D35" s="239" t="n">
        <x:v>0.9113737310073825</x:v>
      </x:c>
      <x:c r="E35" s="239" t="n">
        <x:v>0.8571428571428571</x:v>
      </x:c>
      <x:c r="F35" s="239" t="n">
        <x:v>-0.05423087386452541</x:v>
      </x:c>
      <x:c r="G35" s="141"/>
      <x:c r="H35" s="141"/>
      <x:c r="I35" s="141"/>
    </x:row>
    <x:row r="36">
      <x:c r="A36" s="247" t="str">
        <x:v>validation</x:v>
      </x:c>
      <x:c r="B36" s="247" t="str">
        <x:v>0–10%</x:v>
      </x:c>
      <x:c r="C36" s="247" t="n">
        <x:v>59</x:v>
      </x:c>
      <x:c r="D36" s="239" t="n">
        <x:v>0.07905954502841275</x:v>
      </x:c>
      <x:c r="E36" s="239" t="n">
        <x:v>0.05084745762711865</x:v>
      </x:c>
      <x:c r="F36" s="239" t="n">
        <x:v>-0.028212087401294106</x:v>
      </x:c>
      <x:c r="G36" s="141"/>
      <x:c r="H36" s="141"/>
      <x:c r="I36" s="141"/>
    </x:row>
    <x:row r="37">
      <x:c r="A37" s="247" t="str">
        <x:v>validation</x:v>
      </x:c>
      <x:c r="B37" s="247" t="str">
        <x:v>10–20%</x:v>
      </x:c>
      <x:c r="C37" s="247" t="n">
        <x:v>330</x:v>
      </x:c>
      <x:c r="D37" s="239" t="n">
        <x:v>0.1588888400245696</x:v>
      </x:c>
      <x:c r="E37" s="239" t="n">
        <x:v>0.1</x:v>
      </x:c>
      <x:c r="F37" s="239" t="n">
        <x:v>-0.058888840024569594</x:v>
      </x:c>
      <x:c r="G37" s="141"/>
      <x:c r="H37" s="141"/>
      <x:c r="I37" s="141"/>
    </x:row>
    <x:row r="38">
      <x:c r="A38" s="247" t="str">
        <x:v>validation</x:v>
      </x:c>
      <x:c r="B38" s="247" t="str">
        <x:v>20–30%</x:v>
      </x:c>
      <x:c r="C38" s="247" t="n">
        <x:v>797</x:v>
      </x:c>
      <x:c r="D38" s="239" t="n">
        <x:v>0.2570281201524279</x:v>
      </x:c>
      <x:c r="E38" s="239" t="n">
        <x:v>0.24843161856963614</x:v>
      </x:c>
      <x:c r="F38" s="239" t="n">
        <x:v>-0.008596501582791738</x:v>
      </x:c>
      <x:c r="G38" s="141"/>
      <x:c r="H38" s="141"/>
      <x:c r="I38" s="141"/>
    </x:row>
    <x:row r="39">
      <x:c r="A39" s="247" t="str">
        <x:v>validation</x:v>
      </x:c>
      <x:c r="B39" s="247" t="str">
        <x:v>30–40%</x:v>
      </x:c>
      <x:c r="C39" s="247" t="n">
        <x:v>493</x:v>
      </x:c>
      <x:c r="D39" s="239" t="n">
        <x:v>0.3372344971890173</x:v>
      </x:c>
      <x:c r="E39" s="239" t="n">
        <x:v>0.3448275862068966</x:v>
      </x:c>
      <x:c r="F39" s="239" t="n">
        <x:v>0.007593089017879251</x:v>
      </x:c>
      <x:c r="G39" s="141"/>
      <x:c r="H39" s="141"/>
      <x:c r="I39" s="141"/>
    </x:row>
    <x:row r="40">
      <x:c r="A40" s="247" t="str">
        <x:v>validation</x:v>
      </x:c>
      <x:c r="B40" s="247" t="str">
        <x:v>40–50%</x:v>
      </x:c>
      <x:c r="C40" s="247" t="n">
        <x:v>238</x:v>
      </x:c>
      <x:c r="D40" s="239" t="n">
        <x:v>0.4481009639422991</x:v>
      </x:c>
      <x:c r="E40" s="239" t="n">
        <x:v>0.4789915966386555</x:v>
      </x:c>
      <x:c r="F40" s="239" t="n">
        <x:v>0.03089063269635639</x:v>
      </x:c>
      <x:c r="G40" s="141"/>
      <x:c r="H40" s="141"/>
      <x:c r="I40" s="141"/>
    </x:row>
    <x:row r="41">
      <x:c r="A41" s="247" t="str">
        <x:v>validation</x:v>
      </x:c>
      <x:c r="B41" s="247" t="str">
        <x:v>50–60%</x:v>
      </x:c>
      <x:c r="C41" s="247" t="n">
        <x:v>192</x:v>
      </x:c>
      <x:c r="D41" s="239" t="n">
        <x:v>0.54926016415539</x:v>
      </x:c>
      <x:c r="E41" s="239" t="n">
        <x:v>0.5677083333333334</x:v>
      </x:c>
      <x:c r="F41" s="239" t="n">
        <x:v>0.01844816917794334</x:v>
      </x:c>
      <x:c r="G41" s="141"/>
      <x:c r="H41" s="141"/>
      <x:c r="I41" s="141"/>
    </x:row>
    <x:row r="42">
      <x:c r="A42" s="247" t="str">
        <x:v>validation</x:v>
      </x:c>
      <x:c r="B42" s="247" t="str">
        <x:v>60–70%</x:v>
      </x:c>
      <x:c r="C42" s="247" t="n">
        <x:v>93</x:v>
      </x:c>
      <x:c r="D42" s="239" t="n">
        <x:v>0.6486363335341836</x:v>
      </x:c>
      <x:c r="E42" s="239" t="n">
        <x:v>0.6989247311827957</x:v>
      </x:c>
      <x:c r="F42" s="239" t="n">
        <x:v>0.05028839764861215</x:v>
      </x:c>
      <x:c r="G42" s="141"/>
      <x:c r="H42" s="141"/>
      <x:c r="I42" s="141"/>
    </x:row>
    <x:row r="43">
      <x:c r="A43" s="247" t="str">
        <x:v>validation</x:v>
      </x:c>
      <x:c r="B43" s="247" t="str">
        <x:v>70–80%</x:v>
      </x:c>
      <x:c r="C43" s="247" t="n">
        <x:v>61</x:v>
      </x:c>
      <x:c r="D43" s="239" t="n">
        <x:v>0.7432038751753055</x:v>
      </x:c>
      <x:c r="E43" s="239" t="n">
        <x:v>0.8688524590163934</x:v>
      </x:c>
      <x:c r="F43" s="239" t="n">
        <x:v>0.1256485838410879</x:v>
      </x:c>
      <x:c r="G43" s="141"/>
      <x:c r="H43" s="141"/>
      <x:c r="I43" s="141"/>
    </x:row>
    <x:row r="44">
      <x:c r="A44" s="247" t="str">
        <x:v>validation</x:v>
      </x:c>
      <x:c r="B44" s="247" t="str">
        <x:v>80–90%</x:v>
      </x:c>
      <x:c r="C44" s="247" t="n">
        <x:v>17</x:v>
      </x:c>
      <x:c r="D44" s="239" t="n">
        <x:v>0.8252679070041358</x:v>
      </x:c>
      <x:c r="E44" s="239" t="n">
        <x:v>0.8823529411764706</x:v>
      </x:c>
      <x:c r="F44" s="239" t="n">
        <x:v>0.05708503417233479</x:v>
      </x:c>
      <x:c r="G44" s="141"/>
      <x:c r="H44" s="141"/>
      <x:c r="I44" s="141"/>
    </x:row>
    <x:row r="45">
      <x:c r="A45" s="247" t="str">
        <x:v>validation</x:v>
      </x:c>
      <x:c r="B45" s="247" t="str">
        <x:v>90–100%</x:v>
      </x:c>
      <x:c r="C45" s="247" t="n">
        <x:v>0</x:v>
      </x:c>
      <x:c r="D45" s="239"/>
      <x:c r="E45" s="239"/>
      <x:c r="F45" s="239"/>
      <x:c r="G45" s="141"/>
      <x:c r="H45" s="141"/>
      <x:c r="I45" s="141"/>
    </x:row>
    <x:row r="46">
      <x:c r="A46" s="247" t="str">
        <x:v>test</x:v>
      </x:c>
      <x:c r="B46" s="247" t="str">
        <x:v>0–10%</x:v>
      </x:c>
      <x:c r="C46" s="247" t="n">
        <x:v>33</x:v>
      </x:c>
      <x:c r="D46" s="239" t="n">
        <x:v>0.08025213472326344</x:v>
      </x:c>
      <x:c r="E46" s="239" t="n">
        <x:v>0.030303030303030304</x:v>
      </x:c>
      <x:c r="F46" s="239" t="n">
        <x:v>-0.049949104420233134</x:v>
      </x:c>
      <x:c r="G46" s="141"/>
      <x:c r="H46" s="141"/>
      <x:c r="I46" s="141"/>
    </x:row>
    <x:row r="47">
      <x:c r="A47" s="247" t="str">
        <x:v>test</x:v>
      </x:c>
      <x:c r="B47" s="247" t="str">
        <x:v>10–20%</x:v>
      </x:c>
      <x:c r="C47" s="247" t="n">
        <x:v>131</x:v>
      </x:c>
      <x:c r="D47" s="239" t="n">
        <x:v>0.15824363782894865</x:v>
      </x:c>
      <x:c r="E47" s="239" t="n">
        <x:v>0.15267175572519084</x:v>
      </x:c>
      <x:c r="F47" s="239" t="n">
        <x:v>-0.005571882103757808</x:v>
      </x:c>
      <x:c r="G47" s="141"/>
      <x:c r="H47" s="141"/>
      <x:c r="I47" s="141"/>
    </x:row>
    <x:row r="48">
      <x:c r="A48" s="247" t="str">
        <x:v>test</x:v>
      </x:c>
      <x:c r="B48" s="247" t="str">
        <x:v>20–30%</x:v>
      </x:c>
      <x:c r="C48" s="247" t="n">
        <x:v>426</x:v>
      </x:c>
      <x:c r="D48" s="239" t="n">
        <x:v>0.26072670507769835</x:v>
      </x:c>
      <x:c r="E48" s="239" t="n">
        <x:v>0.23943661971830985</x:v>
      </x:c>
      <x:c r="F48" s="239" t="n">
        <x:v>-0.021290085359388505</x:v>
      </x:c>
      <x:c r="G48" s="141"/>
      <x:c r="H48" s="141"/>
      <x:c r="I48" s="141"/>
    </x:row>
    <x:row r="49">
      <x:c r="A49" s="247" t="str">
        <x:v>test</x:v>
      </x:c>
      <x:c r="B49" s="247" t="str">
        <x:v>30–40%</x:v>
      </x:c>
      <x:c r="C49" s="247" t="n">
        <x:v>260</x:v>
      </x:c>
      <x:c r="D49" s="239" t="n">
        <x:v>0.34008800090958613</x:v>
      </x:c>
      <x:c r="E49" s="239" t="n">
        <x:v>0.35</x:v>
      </x:c>
      <x:c r="F49" s="239" t="n">
        <x:v>0.009911999090413848</x:v>
      </x:c>
      <x:c r="G49" s="141"/>
      <x:c r="H49" s="141"/>
      <x:c r="I49" s="141"/>
    </x:row>
    <x:row r="50">
      <x:c r="A50" s="247" t="str">
        <x:v>test</x:v>
      </x:c>
      <x:c r="B50" s="247" t="str">
        <x:v>40–50%</x:v>
      </x:c>
      <x:c r="C50" s="247" t="n">
        <x:v>133</x:v>
      </x:c>
      <x:c r="D50" s="239" t="n">
        <x:v>0.4429012489508196</x:v>
      </x:c>
      <x:c r="E50" s="239" t="n">
        <x:v>0.45864661654135336</x:v>
      </x:c>
      <x:c r="F50" s="239" t="n">
        <x:v>0.015745367590533743</x:v>
      </x:c>
      <x:c r="G50" s="141"/>
      <x:c r="H50" s="141"/>
      <x:c r="I50" s="141"/>
    </x:row>
    <x:row r="51">
      <x:c r="A51" s="247" t="str">
        <x:v>test</x:v>
      </x:c>
      <x:c r="B51" s="247" t="str">
        <x:v>50–60%</x:v>
      </x:c>
      <x:c r="C51" s="247" t="n">
        <x:v>77</x:v>
      </x:c>
      <x:c r="D51" s="239" t="n">
        <x:v>0.5445009579872282</x:v>
      </x:c>
      <x:c r="E51" s="239" t="n">
        <x:v>0.5584415584415584</x:v>
      </x:c>
      <x:c r="F51" s="239" t="n">
        <x:v>0.01394060045433021</x:v>
      </x:c>
      <x:c r="G51" s="141"/>
      <x:c r="H51" s="141"/>
      <x:c r="I51" s="141"/>
    </x:row>
    <x:row r="52">
      <x:c r="A52" s="247" t="str">
        <x:v>test</x:v>
      </x:c>
      <x:c r="B52" s="247" t="str">
        <x:v>60–70%</x:v>
      </x:c>
      <x:c r="C52" s="247" t="n">
        <x:v>40</x:v>
      </x:c>
      <x:c r="D52" s="239" t="n">
        <x:v>0.6423248681851798</x:v>
      </x:c>
      <x:c r="E52" s="239" t="n">
        <x:v>0.65</x:v>
      </x:c>
      <x:c r="F52" s="239" t="n">
        <x:v>0.0076751318148202685</x:v>
      </x:c>
      <x:c r="G52" s="141"/>
      <x:c r="H52" s="141"/>
      <x:c r="I52" s="141"/>
    </x:row>
    <x:row r="53">
      <x:c r="A53" s="247" t="str">
        <x:v>test</x:v>
      </x:c>
      <x:c r="B53" s="247" t="str">
        <x:v>70–80%</x:v>
      </x:c>
      <x:c r="C53" s="247" t="n">
        <x:v>34</x:v>
      </x:c>
      <x:c r="D53" s="239" t="n">
        <x:v>0.754220905874698</x:v>
      </x:c>
      <x:c r="E53" s="239" t="n">
        <x:v>0.8823529411764706</x:v>
      </x:c>
      <x:c r="F53" s="239" t="n">
        <x:v>0.12813203530177253</x:v>
      </x:c>
      <x:c r="G53" s="141"/>
      <x:c r="H53" s="141"/>
      <x:c r="I53" s="141"/>
    </x:row>
    <x:row r="54">
      <x:c r="A54" s="247" t="str">
        <x:v>test</x:v>
      </x:c>
      <x:c r="B54" s="247" t="str">
        <x:v>80–90%</x:v>
      </x:c>
      <x:c r="C54" s="247" t="n">
        <x:v>6</x:v>
      </x:c>
      <x:c r="D54" s="239" t="n">
        <x:v>0.8267268327209387</x:v>
      </x:c>
      <x:c r="E54" s="239" t="n">
        <x:v>1</x:v>
      </x:c>
      <x:c r="F54" s="239" t="n">
        <x:v>0.17327316727906128</x:v>
      </x:c>
      <x:c r="G54" s="141"/>
      <x:c r="H54" s="141"/>
      <x:c r="I54" s="141"/>
    </x:row>
    <x:row r="55">
      <x:c r="A55" s="248" t="str">
        <x:v>test</x:v>
      </x:c>
      <x:c r="B55" s="248" t="str">
        <x:v>90–100%</x:v>
      </x:c>
      <x:c r="C55" s="248" t="n">
        <x:v>0</x:v>
      </x:c>
      <x:c r="D55" s="244"/>
      <x:c r="E55" s="244"/>
      <x:c r="F55" s="244"/>
      <x:c r="G55" s="141"/>
      <x:c r="H55" s="141"/>
      <x:c r="I55" s="141"/>
    </x:row>
  </x:sheetData>
  <x:mergeCells>
    <x:mergeCell ref="A1:F1"/>
    <x:mergeCell ref="A14:F14"/>
  </x:mergeCells>
  <x:pageMargins left="0.7" right="0.7" top="0.75" bottom="0.75" header="0.3" footer="0.3"/>
  <x:drawing xmlns:r="http://schemas.openxmlformats.org/officeDocument/2006/relationships" r:id="Rfaf9aefef41c459e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38" hidden="0" customWidth="1"/>
    <x:col min="9" max="9" width="18" hidden="0" customWidth="1"/>
    <x:col min="10" max="10" width="18" hidden="0" customWidth="1"/>
    <x:col min="12" max="12" width="38" hidden="0" customWidth="1"/>
    <x:col min="13" max="13" width="12" hidden="0" customWidth="1"/>
  </x:cols>
  <x:sheetData>
    <x:row r="1" ht="34" customHeight="1">
      <x:c r="A1" s="139" t="str">
        <x:v>Variables: asociación, ausencia y deriva</x:v>
      </x:c>
      <x:c r="B1" s="139" t="str">
        <x:v>Variables: asociación, ausencia y deriva</x:v>
      </x:c>
      <x:c r="C1" s="139" t="str">
        <x:v>Variables: asociación, ausencia y deriva</x:v>
      </x:c>
      <x:c r="D1" s="139" t="str">
        <x:v>Variables: asociación, ausencia y deriva</x:v>
      </x:c>
      <x:c r="E1" s="139" t="str">
        <x:v>Variables: asociación, ausencia y deriva</x:v>
      </x:c>
      <x:c r="F1" s="139" t="str">
        <x:v>Variables: asociación, ausencia y deriva</x:v>
      </x:c>
      <x:c r="G1" s="139" t="str">
        <x:v>Variables: asociación, ausencia y deriva</x:v>
      </x:c>
      <x:c r="H1" s="139" t="str">
        <x:v>Variables: asociación, ausencia y deriva</x:v>
      </x:c>
      <x:c r="I1" s="141"/>
      <x:c r="J1" s="141"/>
      <x:c r="K1" s="141"/>
      <x:c r="L1" s="141"/>
      <x:c r="M1" s="141"/>
    </x:row>
    <x:row r="2" ht="30" customHeight="1">
      <x:c r="A2" s="228" t="str">
        <x:v>feature</x:v>
      </x:c>
      <x:c r="B2" s="229" t="str">
        <x:v>observations</x:v>
      </x:c>
      <x:c r="C2" s="229" t="str">
        <x:v>coverage</x:v>
      </x:c>
      <x:c r="D2" s="229" t="str">
        <x:v>eta_squared_1x2</x:v>
      </x:c>
      <x:c r="E2" s="230" t="str">
        <x:v>spearman_home_result</x:v>
      </x:c>
      <x:c r="F2" s="141"/>
      <x:c r="G2" s="228" t="str">
        <x:v>split</x:v>
      </x:c>
      <x:c r="H2" s="229" t="str">
        <x:v>feature</x:v>
      </x:c>
      <x:c r="I2" s="229" t="str">
        <x:v>missing_count</x:v>
      </x:c>
      <x:c r="J2" s="230" t="str">
        <x:v>missing_rate</x:v>
      </x:c>
      <x:c r="K2" s="141"/>
      <x:c r="L2" s="141"/>
      <x:c r="M2" s="141"/>
    </x:row>
    <x:row r="3">
      <x:c r="A3" s="246" t="str">
        <x:v>market_probability_away</x:v>
      </x:c>
      <x:c r="B3" s="246" t="n">
        <x:v>2660</x:v>
      </x:c>
      <x:c r="C3" s="235" t="n">
        <x:v>1</x:v>
      </x:c>
      <x:c r="D3" s="235" t="n">
        <x:v>0.1711108861124089</x:v>
      </x:c>
      <x:c r="E3" s="235" t="n">
        <x:v>-0.41360296132903857</x:v>
      </x:c>
      <x:c r="F3" s="141"/>
      <x:c r="G3" s="246" t="str">
        <x:v>all</x:v>
      </x:c>
      <x:c r="H3" s="246" t="str">
        <x:v>home_segunda_position</x:v>
      </x:c>
      <x:c r="I3" s="246" t="n">
        <x:v>3572</x:v>
      </x:c>
      <x:c r="J3" s="234" t="n">
        <x:v>0.94</x:v>
      </x:c>
      <x:c r="K3" s="141"/>
      <x:c r="L3" s="141"/>
      <x:c r="M3" s="141"/>
    </x:row>
    <x:row r="4">
      <x:c r="A4" s="247" t="str">
        <x:v>market_probability_home</x:v>
      </x:c>
      <x:c r="B4" s="247" t="n">
        <x:v>2660</x:v>
      </x:c>
      <x:c r="C4" s="240" t="n">
        <x:v>1</x:v>
      </x:c>
      <x:c r="D4" s="240" t="n">
        <x:v>0.16882985447818882</x:v>
      </x:c>
      <x:c r="E4" s="240" t="n">
        <x:v>0.4118012600604077</x:v>
      </x:c>
      <x:c r="F4" s="141"/>
      <x:c r="G4" s="247" t="str">
        <x:v>all</x:v>
      </x:c>
      <x:c r="H4" s="247" t="str">
        <x:v>away_segunda_position</x:v>
      </x:c>
      <x:c r="I4" s="247" t="n">
        <x:v>3572</x:v>
      </x:c>
      <x:c r="J4" s="239" t="n">
        <x:v>0.94</x:v>
      </x:c>
      <x:c r="K4" s="141"/>
      <x:c r="L4" s="141"/>
      <x:c r="M4" s="141"/>
    </x:row>
    <x:row r="5">
      <x:c r="A5" s="247" t="str">
        <x:v>elo_expected_home</x:v>
      </x:c>
      <x:c r="B5" s="247" t="n">
        <x:v>2660</x:v>
      </x:c>
      <x:c r="C5" s="240" t="n">
        <x:v>1</x:v>
      </x:c>
      <x:c r="D5" s="240" t="n">
        <x:v>0.1311214046370828</x:v>
      </x:c>
      <x:c r="E5" s="240" t="n">
        <x:v>0.3629689417663795</x:v>
      </x:c>
      <x:c r="F5" s="141"/>
      <x:c r="G5" s="247" t="str">
        <x:v>all</x:v>
      </x:c>
      <x:c r="H5" s="247" t="str">
        <x:v>season_ppg_difference</x:v>
      </x:c>
      <x:c r="I5" s="247" t="n">
        <x:v>103</x:v>
      </x:c>
      <x:c r="J5" s="239" t="n">
        <x:v>0.027105263157894736</x:v>
      </x:c>
      <x:c r="K5" s="141"/>
      <x:c r="L5" s="141"/>
      <x:c r="M5" s="141"/>
    </x:row>
    <x:row r="6">
      <x:c r="A6" s="247" t="str">
        <x:v>elo_difference_pre</x:v>
      </x:c>
      <x:c r="B6" s="247" t="n">
        <x:v>2660</x:v>
      </x:c>
      <x:c r="C6" s="240" t="n">
        <x:v>1</x:v>
      </x:c>
      <x:c r="D6" s="240" t="n">
        <x:v>0.12946260169848894</x:v>
      </x:c>
      <x:c r="E6" s="240" t="n">
        <x:v>0.3629689417663795</x:v>
      </x:c>
      <x:c r="F6" s="141"/>
      <x:c r="G6" s="247" t="str">
        <x:v>all</x:v>
      </x:c>
      <x:c r="H6" s="247" t="str">
        <x:v>season_win_rate_difference</x:v>
      </x:c>
      <x:c r="I6" s="247" t="n">
        <x:v>103</x:v>
      </x:c>
      <x:c r="J6" s="239" t="n">
        <x:v>0.027105263157894736</x:v>
      </x:c>
      <x:c r="K6" s="141"/>
      <x:c r="L6" s="141"/>
      <x:c r="M6" s="141"/>
    </x:row>
    <x:row r="7">
      <x:c r="A7" s="247" t="str">
        <x:v>season_goal_difference_avg</x:v>
      </x:c>
      <x:c r="B7" s="247" t="n">
        <x:v>2587</x:v>
      </x:c>
      <x:c r="C7" s="240" t="n">
        <x:v>0.9725563909774436</x:v>
      </x:c>
      <x:c r="D7" s="240" t="n">
        <x:v>0.10441313901837025</x:v>
      </x:c>
      <x:c r="E7" s="240" t="n">
        <x:v>0.3305460424172529</x:v>
      </x:c>
      <x:c r="F7" s="141"/>
      <x:c r="G7" s="247" t="str">
        <x:v>all</x:v>
      </x:c>
      <x:c r="H7" s="247" t="str">
        <x:v>season_goal_difference_avg</x:v>
      </x:c>
      <x:c r="I7" s="247" t="n">
        <x:v>103</x:v>
      </x:c>
      <x:c r="J7" s="239" t="n">
        <x:v>0.027105263157894736</x:v>
      </x:c>
      <x:c r="K7" s="141"/>
      <x:c r="L7" s="141"/>
      <x:c r="M7" s="141"/>
    </x:row>
    <x:row r="8">
      <x:c r="A8" s="247" t="str">
        <x:v>league_position_advantage</x:v>
      </x:c>
      <x:c r="B8" s="247" t="n">
        <x:v>2648</x:v>
      </x:c>
      <x:c r="C8" s="240" t="n">
        <x:v>0.9954887218045113</x:v>
      </x:c>
      <x:c r="D8" s="240" t="n">
        <x:v>0.08829209709809276</x:v>
      </x:c>
      <x:c r="E8" s="240" t="n">
        <x:v>0.29592046582000614</x:v>
      </x:c>
      <x:c r="F8" s="141"/>
      <x:c r="G8" s="247" t="str">
        <x:v>all</x:v>
      </x:c>
      <x:c r="H8" s="247" t="str">
        <x:v>home_season_ppg_pre</x:v>
      </x:c>
      <x:c r="I8" s="247" t="n">
        <x:v>101</x:v>
      </x:c>
      <x:c r="J8" s="239" t="n">
        <x:v>0.026578947368421053</x:v>
      </x:c>
      <x:c r="K8" s="141"/>
      <x:c r="L8" s="141"/>
      <x:c r="M8" s="141"/>
    </x:row>
    <x:row r="9">
      <x:c r="A9" s="247" t="str">
        <x:v>season_ppg_difference</x:v>
      </x:c>
      <x:c r="B9" s="247" t="n">
        <x:v>2587</x:v>
      </x:c>
      <x:c r="C9" s="240" t="n">
        <x:v>0.9725563909774436</x:v>
      </x:c>
      <x:c r="D9" s="240" t="n">
        <x:v>0.08823240263765608</x:v>
      </x:c>
      <x:c r="E9" s="240" t="n">
        <x:v>0.3115232866286211</x:v>
      </x:c>
      <x:c r="F9" s="141"/>
      <x:c r="G9" s="247" t="str">
        <x:v>all</x:v>
      </x:c>
      <x:c r="H9" s="247" t="str">
        <x:v>home_season_win_rate_pre</x:v>
      </x:c>
      <x:c r="I9" s="247" t="n">
        <x:v>101</x:v>
      </x:c>
      <x:c r="J9" s="239" t="n">
        <x:v>0.026578947368421053</x:v>
      </x:c>
      <x:c r="K9" s="141"/>
      <x:c r="L9" s="141"/>
      <x:c r="M9" s="141"/>
    </x:row>
    <x:row r="10">
      <x:c r="A10" s="247" t="str">
        <x:v>form_ppg_10_difference</x:v>
      </x:c>
      <x:c r="B10" s="247" t="n">
        <x:v>2641</x:v>
      </x:c>
      <x:c r="C10" s="240" t="n">
        <x:v>0.9928571428571429</x:v>
      </x:c>
      <x:c r="D10" s="240" t="n">
        <x:v>0.08158630573438515</x:v>
      </x:c>
      <x:c r="E10" s="240" t="n">
        <x:v>0.28339013835306925</x:v>
      </x:c>
      <x:c r="F10" s="141"/>
      <x:c r="G10" s="247" t="str">
        <x:v>all</x:v>
      </x:c>
      <x:c r="H10" s="247" t="str">
        <x:v>home_season_goals_for_avg_pre</x:v>
      </x:c>
      <x:c r="I10" s="247" t="n">
        <x:v>101</x:v>
      </x:c>
      <x:c r="J10" s="239" t="n">
        <x:v>0.026578947368421053</x:v>
      </x:c>
      <x:c r="K10" s="141"/>
      <x:c r="L10" s="141"/>
      <x:c r="M10" s="141"/>
    </x:row>
    <x:row r="11">
      <x:c r="A11" s="247" t="str">
        <x:v>season_win_rate_difference</x:v>
      </x:c>
      <x:c r="B11" s="247" t="n">
        <x:v>2587</x:v>
      </x:c>
      <x:c r="C11" s="240" t="n">
        <x:v>0.9725563909774436</x:v>
      </x:c>
      <x:c r="D11" s="240" t="n">
        <x:v>0.07928553284534953</x:v>
      </x:c>
      <x:c r="E11" s="240" t="n">
        <x:v>0.3016250959312906</x:v>
      </x:c>
      <x:c r="F11" s="141"/>
      <x:c r="G11" s="247" t="str">
        <x:v>all</x:v>
      </x:c>
      <x:c r="H11" s="247" t="str">
        <x:v>home_season_goals_against_avg_pre</x:v>
      </x:c>
      <x:c r="I11" s="247" t="n">
        <x:v>101</x:v>
      </x:c>
      <x:c r="J11" s="239" t="n">
        <x:v>0.026578947368421053</x:v>
      </x:c>
      <x:c r="K11" s="141"/>
      <x:c r="L11" s="141"/>
      <x:c r="M11" s="141"/>
    </x:row>
    <x:row r="12">
      <x:c r="A12" s="247" t="str">
        <x:v>away_elo_pre</x:v>
      </x:c>
      <x:c r="B12" s="247" t="n">
        <x:v>2660</x:v>
      </x:c>
      <x:c r="C12" s="240" t="n">
        <x:v>1</x:v>
      </x:c>
      <x:c r="D12" s="240" t="n">
        <x:v>0.0792224807810116</x:v>
      </x:c>
      <x:c r="E12" s="240" t="n">
        <x:v>-0.26382478215945043</x:v>
      </x:c>
      <x:c r="F12" s="141"/>
      <x:c r="G12" s="247" t="str">
        <x:v>all</x:v>
      </x:c>
      <x:c r="H12" s="247" t="str">
        <x:v>home_season_goal_difference_avg_pre</x:v>
      </x:c>
      <x:c r="I12" s="247" t="n">
        <x:v>101</x:v>
      </x:c>
      <x:c r="J12" s="239" t="n">
        <x:v>0.026578947368421053</x:v>
      </x:c>
      <x:c r="K12" s="141"/>
      <x:c r="L12" s="141"/>
      <x:c r="M12" s="141"/>
    </x:row>
    <x:row r="13">
      <x:c r="A13" s="247" t="str">
        <x:v>form_goal_difference_5_difference</x:v>
      </x:c>
      <x:c r="B13" s="247" t="n">
        <x:v>2641</x:v>
      </x:c>
      <x:c r="C13" s="240" t="n">
        <x:v>0.9928571428571429</x:v>
      </x:c>
      <x:c r="D13" s="240" t="n">
        <x:v>0.06781113708256564</x:v>
      </x:c>
      <x:c r="E13" s="240" t="n">
        <x:v>0.26002518007073033</x:v>
      </x:c>
      <x:c r="F13" s="141"/>
      <x:c r="G13" s="247" t="str">
        <x:v>all</x:v>
      </x:c>
      <x:c r="H13" s="247" t="str">
        <x:v>away_season_ppg_pre</x:v>
      </x:c>
      <x:c r="I13" s="247" t="n">
        <x:v>99</x:v>
      </x:c>
      <x:c r="J13" s="239" t="n">
        <x:v>0.02605263157894737</x:v>
      </x:c>
      <x:c r="K13" s="141"/>
      <x:c r="L13" s="141"/>
      <x:c r="M13" s="141"/>
    </x:row>
    <x:row r="14">
      <x:c r="A14" s="247" t="str">
        <x:v>form_shots_on_target_5_difference</x:v>
      </x:c>
      <x:c r="B14" s="247" t="n">
        <x:v>2641</x:v>
      </x:c>
      <x:c r="C14" s="240" t="n">
        <x:v>0.9928571428571429</x:v>
      </x:c>
      <x:c r="D14" s="240" t="n">
        <x:v>0.06207970468936551</x:v>
      </x:c>
      <x:c r="E14" s="240" t="n">
        <x:v>0.2416437447543441</x:v>
      </x:c>
      <x:c r="F14" s="141"/>
      <x:c r="G14" s="247" t="str">
        <x:v>all</x:v>
      </x:c>
      <x:c r="H14" s="247" t="str">
        <x:v>away_season_win_rate_pre</x:v>
      </x:c>
      <x:c r="I14" s="247" t="n">
        <x:v>99</x:v>
      </x:c>
      <x:c r="J14" s="239" t="n">
        <x:v>0.02605263157894737</x:v>
      </x:c>
      <x:c r="K14" s="141"/>
      <x:c r="L14" s="141"/>
      <x:c r="M14" s="141"/>
    </x:row>
    <x:row r="15">
      <x:c r="A15" s="247" t="str">
        <x:v>home_elo_pre</x:v>
      </x:c>
      <x:c r="B15" s="247" t="n">
        <x:v>2660</x:v>
      </x:c>
      <x:c r="C15" s="240" t="n">
        <x:v>1</x:v>
      </x:c>
      <x:c r="D15" s="240" t="n">
        <x:v>0.05691098300838191</x:v>
      </x:c>
      <x:c r="E15" s="240" t="n">
        <x:v>0.21413092653974983</x:v>
      </x:c>
      <x:c r="F15" s="141"/>
      <x:c r="G15" s="247" t="str">
        <x:v>all</x:v>
      </x:c>
      <x:c r="H15" s="247" t="str">
        <x:v>away_season_goals_for_avg_pre</x:v>
      </x:c>
      <x:c r="I15" s="247" t="n">
        <x:v>99</x:v>
      </x:c>
      <x:c r="J15" s="239" t="n">
        <x:v>0.02605263157894737</x:v>
      </x:c>
      <x:c r="K15" s="141"/>
      <x:c r="L15" s="141"/>
      <x:c r="M15" s="141"/>
    </x:row>
    <x:row r="16">
      <x:c r="A16" s="247" t="str">
        <x:v>venue_ppg_5_difference</x:v>
      </x:c>
      <x:c r="B16" s="247" t="n">
        <x:v>2622</x:v>
      </x:c>
      <x:c r="C16" s="240" t="n">
        <x:v>0.9857142857142858</x:v>
      </x:c>
      <x:c r="D16" s="240" t="n">
        <x:v>0.055106315446191254</x:v>
      </x:c>
      <x:c r="E16" s="240" t="n">
        <x:v>0.2282066221005196</x:v>
      </x:c>
      <x:c r="F16" s="141"/>
      <x:c r="G16" s="247" t="str">
        <x:v>all</x:v>
      </x:c>
      <x:c r="H16" s="247" t="str">
        <x:v>away_season_goals_against_avg_pre</x:v>
      </x:c>
      <x:c r="I16" s="247" t="n">
        <x:v>99</x:v>
      </x:c>
      <x:c r="J16" s="239" t="n">
        <x:v>0.02605263157894737</x:v>
      </x:c>
      <x:c r="K16" s="141"/>
      <x:c r="L16" s="141"/>
      <x:c r="M16" s="141"/>
    </x:row>
    <x:row r="17">
      <x:c r="A17" s="247" t="str">
        <x:v>away_season_goal_difference_avg_pre</x:v>
      </x:c>
      <x:c r="B17" s="247" t="n">
        <x:v>2591</x:v>
      </x:c>
      <x:c r="C17" s="240" t="n">
        <x:v>0.9740601503759398</x:v>
      </x:c>
      <x:c r="D17" s="240" t="n">
        <x:v>0.05398537080994858</x:v>
      </x:c>
      <x:c r="E17" s="240" t="n">
        <x:v>-0.22153679156163192</x:v>
      </x:c>
      <x:c r="F17" s="141"/>
      <x:c r="G17" s="247" t="str">
        <x:v>all</x:v>
      </x:c>
      <x:c r="H17" s="247" t="str">
        <x:v>away_season_goal_difference_avg_pre</x:v>
      </x:c>
      <x:c r="I17" s="247" t="n">
        <x:v>99</x:v>
      </x:c>
      <x:c r="J17" s="239" t="n">
        <x:v>0.02605263157894737</x:v>
      </x:c>
      <x:c r="K17" s="141"/>
      <x:c r="L17" s="141"/>
      <x:c r="M17" s="141"/>
    </x:row>
    <x:row r="18">
      <x:c r="A18" s="247" t="str">
        <x:v>form_ppg_5_difference</x:v>
      </x:c>
      <x:c r="B18" s="247" t="n">
        <x:v>2641</x:v>
      </x:c>
      <x:c r="C18" s="240" t="n">
        <x:v>0.9928571428571429</x:v>
      </x:c>
      <x:c r="D18" s="240" t="n">
        <x:v>0.05054193320500761</x:v>
      </x:c>
      <x:c r="E18" s="240" t="n">
        <x:v>0.22501289181616485</x:v>
      </x:c>
      <x:c r="F18" s="141"/>
      <x:c r="G18" s="247" t="str">
        <x:v>all</x:v>
      </x:c>
      <x:c r="H18" s="247" t="str">
        <x:v>venue_ppg_5_difference</x:v>
      </x:c>
      <x:c r="I18" s="247" t="n">
        <x:v>38</x:v>
      </x:c>
      <x:c r="J18" s="239" t="n">
        <x:v>0.01</x:v>
      </x:c>
      <x:c r="K18" s="141"/>
      <x:c r="L18" s="141"/>
      <x:c r="M18" s="141"/>
    </x:row>
    <x:row r="19">
      <x:c r="A19" s="247" t="str">
        <x:v>away_form_goal_difference_avg_10</x:v>
      </x:c>
      <x:c r="B19" s="247" t="n">
        <x:v>2647</x:v>
      </x:c>
      <x:c r="C19" s="240" t="n">
        <x:v>0.9951127819548872</x:v>
      </x:c>
      <x:c r="D19" s="240" t="n">
        <x:v>0.05028213195501189</x:v>
      </x:c>
      <x:c r="E19" s="240" t="n">
        <x:v>-0.2092743388303998</x:v>
      </x:c>
      <x:c r="F19" s="141"/>
      <x:c r="G19" s="247" t="str">
        <x:v>all</x:v>
      </x:c>
      <x:c r="H19" s="247" t="str">
        <x:v>home_venue_ppg_5</x:v>
      </x:c>
      <x:c r="I19" s="247" t="n">
        <x:v>29</x:v>
      </x:c>
      <x:c r="J19" s="239" t="n">
        <x:v>0.007631578947368421</x:v>
      </x:c>
      <x:c r="K19" s="141"/>
      <x:c r="L19" s="141"/>
      <x:c r="M19" s="141"/>
    </x:row>
    <x:row r="20">
      <x:c r="A20" s="247" t="str">
        <x:v>home_season_goal_difference_avg_pre</x:v>
      </x:c>
      <x:c r="B20" s="247" t="n">
        <x:v>2589</x:v>
      </x:c>
      <x:c r="C20" s="240" t="n">
        <x:v>0.9733082706766917</x:v>
      </x:c>
      <x:c r="D20" s="240" t="n">
        <x:v>0.04910550929791379</x:v>
      </x:c>
      <x:c r="E20" s="240" t="n">
        <x:v>0.21935846424611669</x:v>
      </x:c>
      <x:c r="F20" s="141"/>
      <x:c r="G20" s="247" t="str">
        <x:v>all</x:v>
      </x:c>
      <x:c r="H20" s="247" t="str">
        <x:v>home_venue_win_rate_5</x:v>
      </x:c>
      <x:c r="I20" s="247" t="n">
        <x:v>29</x:v>
      </x:c>
      <x:c r="J20" s="239" t="n">
        <x:v>0.007631578947368421</x:v>
      </x:c>
      <x:c r="K20" s="141"/>
      <x:c r="L20" s="141"/>
      <x:c r="M20" s="141"/>
    </x:row>
    <x:row r="21">
      <x:c r="A21" s="247" t="str">
        <x:v>away_league_position_pre</x:v>
      </x:c>
      <x:c r="B21" s="247" t="n">
        <x:v>2648</x:v>
      </x:c>
      <x:c r="C21" s="240" t="n">
        <x:v>0.9954887218045113</x:v>
      </x:c>
      <x:c r="D21" s="240" t="n">
        <x:v>0.04810330071955024</x:v>
      </x:c>
      <x:c r="E21" s="240" t="n">
        <x:v>0.21382093379117767</x:v>
      </x:c>
      <x:c r="F21" s="141"/>
      <x:c r="G21" s="247" t="str">
        <x:v>all</x:v>
      </x:c>
      <x:c r="H21" s="247" t="str">
        <x:v>home_venue_goals_for_avg_5</x:v>
      </x:c>
      <x:c r="I21" s="247" t="n">
        <x:v>29</x:v>
      </x:c>
      <x:c r="J21" s="239" t="n">
        <x:v>0.007631578947368421</x:v>
      </x:c>
      <x:c r="K21" s="141"/>
      <x:c r="L21" s="141"/>
      <x:c r="M21" s="141"/>
    </x:row>
    <x:row r="22">
      <x:c r="A22" s="248" t="str">
        <x:v>away_form_ppg_10</x:v>
      </x:c>
      <x:c r="B22" s="248" t="n">
        <x:v>2647</x:v>
      </x:c>
      <x:c r="C22" s="245" t="n">
        <x:v>0.9951127819548872</x:v>
      </x:c>
      <x:c r="D22" s="245" t="n">
        <x:v>0.047323602581080045</x:v>
      </x:c>
      <x:c r="E22" s="245" t="n">
        <x:v>-0.20180181424076893</x:v>
      </x:c>
      <x:c r="F22" s="141"/>
      <x:c r="G22" s="248" t="str">
        <x:v>all</x:v>
      </x:c>
      <x:c r="H22" s="248" t="str">
        <x:v>home_venue_goals_against_avg_5</x:v>
      </x:c>
      <x:c r="I22" s="248" t="n">
        <x:v>29</x:v>
      </x:c>
      <x:c r="J22" s="244" t="n">
        <x:v>0.007631578947368421</x:v>
      </x:c>
      <x:c r="K22" s="141"/>
      <x:c r="L22" s="141"/>
      <x:c r="M22" s="141"/>
    </x:row>
    <x:row r="23">
      <x:c r="A23" s="141"/>
      <x:c r="B23" s="141"/>
      <x:c r="C23" s="141"/>
      <x:c r="D23" s="141"/>
      <x:c r="E23" s="141"/>
      <x:c r="F23" s="141"/>
      <x:c r="G23" s="141"/>
      <x:c r="H23" s="141"/>
      <x:c r="I23" s="141"/>
      <x:c r="J23" s="141"/>
      <x:c r="K23" s="141"/>
      <x:c r="L23" s="141"/>
      <x:c r="M23" s="141"/>
    </x:row>
    <x:row r="24">
      <x:c r="A24" s="163" t="str">
        <x:v>Cambios de distribución más grandes</x:v>
      </x:c>
      <x:c r="B24" s="163" t="str">
        <x:v>Cambios de distribución más grandes</x:v>
      </x:c>
      <x:c r="C24" s="163" t="str">
        <x:v>Cambios de distribución más grandes</x:v>
      </x:c>
      <x:c r="D24" s="163" t="str">
        <x:v>Cambios de distribución más grandes</x:v>
      </x:c>
      <x:c r="E24" s="163" t="str">
        <x:v>Cambios de distribución más grandes</x:v>
      </x:c>
      <x:c r="F24" s="163" t="str">
        <x:v>Cambios de distribución más grandes</x:v>
      </x:c>
      <x:c r="G24" s="163" t="str">
        <x:v>Cambios de distribución más grandes</x:v>
      </x:c>
      <x:c r="H24" s="163" t="str">
        <x:v>Cambios de distribución más grandes</x:v>
      </x:c>
      <x:c r="I24" s="141"/>
      <x:c r="J24" s="141"/>
      <x:c r="K24" s="141"/>
      <x:c r="L24" s="141"/>
      <x:c r="M24" s="141"/>
    </x:row>
    <x:row r="25" ht="30" customHeight="1">
      <x:c r="A25" s="228" t="str">
        <x:v>comparison</x:v>
      </x:c>
      <x:c r="B25" s="229" t="str">
        <x:v>feature</x:v>
      </x:c>
      <x:c r="C25" s="229" t="str">
        <x:v>train_mean</x:v>
      </x:c>
      <x:c r="D25" s="229" t="str">
        <x:v>comparison_mean</x:v>
      </x:c>
      <x:c r="E25" s="229" t="str">
        <x:v>standardized_mean_difference</x:v>
      </x:c>
      <x:c r="F25" s="229" t="str">
        <x:v>absolute_smd</x:v>
      </x:c>
      <x:c r="G25" s="229" t="str">
        <x:v>train_coverage</x:v>
      </x:c>
      <x:c r="H25" s="230" t="str">
        <x:v>comparison_coverage</x:v>
      </x:c>
      <x:c r="I25" s="141"/>
      <x:c r="J25" s="141"/>
      <x:c r="K25" s="141"/>
      <x:c r="L25" s="228" t="str">
        <x:v>Variable</x:v>
      </x:c>
      <x:c r="M25" s="230" t="str">
        <x:v>Eta²</x:v>
      </x:c>
    </x:row>
    <x:row r="26">
      <x:c r="A26" s="246" t="str">
        <x:v>test</x:v>
      </x:c>
      <x:c r="B26" s="246" t="str">
        <x:v>market_overround</x:v>
      </x:c>
      <x:c r="C26" s="235" t="n">
        <x:v>1.0485769906438214</x:v>
      </x:c>
      <x:c r="D26" s="235" t="n">
        <x:v>1.0646126827209526</x:v>
      </x:c>
      <x:c r="E26" s="235" t="n">
        <x:v>3.101361771057693</x:v>
      </x:c>
      <x:c r="F26" s="235" t="n">
        <x:v>3.101361771057693</x:v>
      </x:c>
      <x:c r="G26" s="235" t="n">
        <x:v>1</x:v>
      </x:c>
      <x:c r="H26" s="235" t="n">
        <x:v>1</x:v>
      </x:c>
      <x:c r="I26" s="141"/>
      <x:c r="J26" s="141"/>
      <x:c r="K26" s="141"/>
      <x:c r="L26" s="246" t="str">
        <x:f>A3</x:f>
        <x:v>market_probability_away</x:v>
      </x:c>
      <x:c r="M26" s="235" t="n">
        <x:f>D3</x:f>
        <x:v>0.1711108861124089</x:v>
      </x:c>
    </x:row>
    <x:row r="27">
      <x:c r="A27" s="247" t="str">
        <x:v>test</x:v>
      </x:c>
      <x:c r="B27" s="247" t="str">
        <x:v>home_segunda_position</x:v>
      </x:c>
      <x:c r="C27" s="240" t="n">
        <x:v>3.3333333333333335</x:v>
      </x:c>
      <x:c r="D27" s="240" t="n">
        <x:v>2.3333333333333335</x:v>
      </x:c>
      <x:c r="E27" s="240" t="n">
        <x:v>-0.48237638894271995</x:v>
      </x:c>
      <x:c r="F27" s="240" t="n">
        <x:v>0.48237638894271995</x:v>
      </x:c>
      <x:c r="G27" s="240" t="n">
        <x:v>0.02142857142857143</x:v>
      </x:c>
      <x:c r="H27" s="240" t="n">
        <x:v>0.15</x:v>
      </x:c>
      <x:c r="I27" s="141"/>
      <x:c r="J27" s="141"/>
      <x:c r="K27" s="141"/>
      <x:c r="L27" s="247" t="str">
        <x:f>A4</x:f>
        <x:v>market_probability_home</x:v>
      </x:c>
      <x:c r="M27" s="240" t="n">
        <x:f>D4</x:f>
        <x:v>0.16882985447818882</x:v>
      </x:c>
    </x:row>
    <x:row r="28">
      <x:c r="A28" s="247" t="str">
        <x:v>test</x:v>
      </x:c>
      <x:c r="B28" s="247" t="str">
        <x:v>away_segunda_position</x:v>
      </x:c>
      <x:c r="C28" s="240" t="n">
        <x:v>3.3333333333333335</x:v>
      </x:c>
      <x:c r="D28" s="240" t="n">
        <x:v>2.3333333333333335</x:v>
      </x:c>
      <x:c r="E28" s="240" t="n">
        <x:v>-0.48237638894271995</x:v>
      </x:c>
      <x:c r="F28" s="240" t="n">
        <x:v>0.48237638894271995</x:v>
      </x:c>
      <x:c r="G28" s="240" t="n">
        <x:v>0.02142857142857143</x:v>
      </x:c>
      <x:c r="H28" s="240" t="n">
        <x:v>0.15</x:v>
      </x:c>
      <x:c r="I28" s="141"/>
      <x:c r="J28" s="141"/>
      <x:c r="K28" s="141"/>
      <x:c r="L28" s="247" t="str">
        <x:f>A5</x:f>
        <x:v>elo_expected_home</x:v>
      </x:c>
      <x:c r="M28" s="240" t="n">
        <x:f>D5</x:f>
        <x:v>0.1311214046370828</x:v>
      </x:c>
    </x:row>
    <x:row r="29">
      <x:c r="A29" s="247" t="str">
        <x:v>test</x:v>
      </x:c>
      <x:c r="B29" s="247" t="str">
        <x:v>home_promoted</x:v>
      </x:c>
      <x:c r="C29" s="240" t="n">
        <x:v>0.02142857142857143</x:v>
      </x:c>
      <x:c r="D29" s="240" t="n">
        <x:v>0.15</x:v>
      </x:c>
      <x:c r="E29" s="240" t="n">
        <x:v>0.47134405192840967</x:v>
      </x:c>
      <x:c r="F29" s="240" t="n">
        <x:v>0.47134405192840967</x:v>
      </x:c>
      <x:c r="G29" s="240" t="n">
        <x:v>1</x:v>
      </x:c>
      <x:c r="H29" s="240" t="n">
        <x:v>1</x:v>
      </x:c>
      <x:c r="I29" s="141"/>
      <x:c r="J29" s="141"/>
      <x:c r="K29" s="141"/>
      <x:c r="L29" s="247" t="str">
        <x:f>A6</x:f>
        <x:v>elo_difference_pre</x:v>
      </x:c>
      <x:c r="M29" s="240" t="n">
        <x:f>D6</x:f>
        <x:v>0.12946260169848894</x:v>
      </x:c>
    </x:row>
    <x:row r="30">
      <x:c r="A30" s="247" t="str">
        <x:v>test</x:v>
      </x:c>
      <x:c r="B30" s="247" t="str">
        <x:v>away_promoted</x:v>
      </x:c>
      <x:c r="C30" s="240" t="n">
        <x:v>0.02142857142857143</x:v>
      </x:c>
      <x:c r="D30" s="240" t="n">
        <x:v>0.15</x:v>
      </x:c>
      <x:c r="E30" s="240" t="n">
        <x:v>0.47134405192840967</x:v>
      </x:c>
      <x:c r="F30" s="240" t="n">
        <x:v>0.47134405192840967</x:v>
      </x:c>
      <x:c r="G30" s="240" t="n">
        <x:v>1</x:v>
      </x:c>
      <x:c r="H30" s="240" t="n">
        <x:v>1</x:v>
      </x:c>
      <x:c r="I30" s="141"/>
      <x:c r="J30" s="141"/>
      <x:c r="K30" s="141"/>
      <x:c r="L30" s="247" t="str">
        <x:f>A7</x:f>
        <x:v>season_goal_difference_avg</x:v>
      </x:c>
      <x:c r="M30" s="240" t="n">
        <x:f>D7</x:f>
        <x:v>0.10441313901837025</x:v>
      </x:c>
    </x:row>
    <x:row r="31">
      <x:c r="A31" s="247" t="str">
        <x:v>test</x:v>
      </x:c>
      <x:c r="B31" s="247" t="str">
        <x:v>history_ready_10</x:v>
      </x:c>
      <x:c r="C31" s="240" t="n">
        <x:v>0.9296992481203008</x:v>
      </x:c>
      <x:c r="D31" s="240" t="n">
        <x:v>1</x:v>
      </x:c>
      <x:c r="E31" s="240" t="n">
        <x:v>0.3888141782688787</x:v>
      </x:c>
      <x:c r="F31" s="240" t="n">
        <x:v>0.3888141782688787</x:v>
      </x:c>
      <x:c r="G31" s="240" t="n">
        <x:v>1</x:v>
      </x:c>
      <x:c r="H31" s="240" t="n">
        <x:v>1</x:v>
      </x:c>
      <x:c r="I31" s="141"/>
      <x:c r="J31" s="141"/>
      <x:c r="K31" s="141"/>
      <x:c r="L31" s="247" t="str">
        <x:f>A8</x:f>
        <x:v>league_position_advantage</x:v>
      </x:c>
      <x:c r="M31" s="240" t="n">
        <x:f>D8</x:f>
        <x:v>0.08829209709809276</x:v>
      </x:c>
    </x:row>
    <x:row r="32">
      <x:c r="A32" s="247" t="str">
        <x:v>test</x:v>
      </x:c>
      <x:c r="B32" s="247" t="str">
        <x:v>history_ready_5</x:v>
      </x:c>
      <x:c r="C32" s="240" t="n">
        <x:v>0.9646616541353383</x:v>
      </x:c>
      <x:c r="D32" s="240" t="n">
        <x:v>1</x:v>
      </x:c>
      <x:c r="E32" s="240" t="n">
        <x:v>0.2706256451129105</x:v>
      </x:c>
      <x:c r="F32" s="240" t="n">
        <x:v>0.2706256451129105</x:v>
      </x:c>
      <x:c r="G32" s="240" t="n">
        <x:v>1</x:v>
      </x:c>
      <x:c r="H32" s="240" t="n">
        <x:v>1</x:v>
      </x:c>
      <x:c r="I32" s="141"/>
      <x:c r="J32" s="141"/>
      <x:c r="K32" s="141"/>
      <x:c r="L32" s="247" t="str">
        <x:f>A9</x:f>
        <x:v>season_ppg_difference</x:v>
      </x:c>
      <x:c r="M32" s="240" t="n">
        <x:f>D9</x:f>
        <x:v>0.08823240263765608</x:v>
      </x:c>
    </x:row>
    <x:row r="33">
      <x:c r="A33" s="247" t="str">
        <x:v>test</x:v>
      </x:c>
      <x:c r="B33" s="247" t="str">
        <x:v>away_venue_shots_on_target_for_avg_5</x:v>
      </x:c>
      <x:c r="C33" s="240" t="n">
        <x:v>3.6159064994298746</x:v>
      </x:c>
      <x:c r="D33" s="240" t="n">
        <x:v>3.864736842105263</x:v>
      </x:c>
      <x:c r="E33" s="240" t="n">
        <x:v>0.20407979414242378</x:v>
      </x:c>
      <x:c r="F33" s="240" t="n">
        <x:v>0.20407979414242378</x:v>
      </x:c>
      <x:c r="G33" s="240" t="n">
        <x:v>0.9890977443609023</x:v>
      </x:c>
      <x:c r="H33" s="240" t="n">
        <x:v>1</x:v>
      </x:c>
      <x:c r="I33" s="141"/>
      <x:c r="J33" s="141"/>
      <x:c r="K33" s="141"/>
      <x:c r="L33" s="247" t="str">
        <x:f>A10</x:f>
        <x:v>form_ppg_10_difference</x:v>
      </x:c>
      <x:c r="M33" s="240" t="n">
        <x:f>D10</x:f>
        <x:v>0.08158630573438515</x:v>
      </x:c>
    </x:row>
    <x:row r="34">
      <x:c r="A34" s="247" t="str">
        <x:v>test</x:v>
      </x:c>
      <x:c r="B34" s="247" t="str">
        <x:v>home_form_shots_on_target_against_avg_5</x:v>
      </x:c>
      <x:c r="C34" s="240" t="n">
        <x:v>4.150901412002018</x:v>
      </x:c>
      <x:c r="D34" s="240" t="n">
        <x:v>4.384736842105263</x:v>
      </x:c>
      <x:c r="E34" s="240" t="n">
        <x:v>0.19632033609472</x:v>
      </x:c>
      <x:c r="F34" s="240" t="n">
        <x:v>0.19632033609472</x:v>
      </x:c>
      <x:c r="G34" s="240" t="n">
        <x:v>0.9939849624060151</x:v>
      </x:c>
      <x:c r="H34" s="240" t="n">
        <x:v>1</x:v>
      </x:c>
      <x:c r="I34" s="141"/>
      <x:c r="J34" s="141"/>
      <x:c r="K34" s="141"/>
      <x:c r="L34" s="247" t="str">
        <x:f>A11</x:f>
        <x:v>season_win_rate_difference</x:v>
      </x:c>
      <x:c r="M34" s="240" t="n">
        <x:f>D11</x:f>
        <x:v>0.07928553284534953</x:v>
      </x:c>
    </x:row>
    <x:row r="35">
      <x:c r="A35" s="247" t="str">
        <x:v>test</x:v>
      </x:c>
      <x:c r="B35" s="247" t="str">
        <x:v>away_form_shots_on_target_for_avg_5</x:v>
      </x:c>
      <x:c r="C35" s="240" t="n">
        <x:v>4.160508752046341</x:v>
      </x:c>
      <x:c r="D35" s="240" t="n">
        <x:v>4.412105263157895</x:v>
      </x:c>
      <x:c r="E35" s="240" t="n">
        <x:v>0.186882140597859</x:v>
      </x:c>
      <x:c r="F35" s="240" t="n">
        <x:v>0.186882140597859</x:v>
      </x:c>
      <x:c r="G35" s="240" t="n">
        <x:v>0.9951127819548872</x:v>
      </x:c>
      <x:c r="H35" s="240" t="n">
        <x:v>1</x:v>
      </x:c>
      <x:c r="I35" s="141"/>
      <x:c r="J35" s="141"/>
      <x:c r="K35" s="141"/>
      <x:c r="L35" s="247" t="str">
        <x:f>A12</x:f>
        <x:v>away_elo_pre</x:v>
      </x:c>
      <x:c r="M35" s="240" t="n">
        <x:f>D12</x:f>
        <x:v>0.0792224807810116</x:v>
      </x:c>
    </x:row>
    <x:row r="36">
      <x:c r="A36" s="247" t="str">
        <x:v>test</x:v>
      </x:c>
      <x:c r="B36" s="247" t="str">
        <x:v>home_venue_shots_on_target_for_avg_5</x:v>
      </x:c>
      <x:c r="C36" s="240" t="n">
        <x:v>4.58786266311922</x:v>
      </x:c>
      <x:c r="D36" s="240" t="n">
        <x:v>4.866315789473685</x:v>
      </x:c>
      <x:c r="E36" s="240" t="n">
        <x:v>0.18261096101714128</x:v>
      </x:c>
      <x:c r="F36" s="240" t="n">
        <x:v>0.18261096101714128</x:v>
      </x:c>
      <x:c r="G36" s="240" t="n">
        <x:v>0.9890977443609023</x:v>
      </x:c>
      <x:c r="H36" s="240" t="n">
        <x:v>1</x:v>
      </x:c>
      <x:c r="I36" s="141"/>
      <x:c r="J36" s="141"/>
      <x:c r="K36" s="141"/>
      <x:c r="L36" s="247" t="str">
        <x:f>A13</x:f>
        <x:v>form_goal_difference_5_difference</x:v>
      </x:c>
      <x:c r="M36" s="240" t="n">
        <x:f>D13</x:f>
        <x:v>0.06781113708256564</x:v>
      </x:c>
    </x:row>
    <x:row r="37">
      <x:c r="A37" s="247" t="str">
        <x:v>test</x:v>
      </x:c>
      <x:c r="B37" s="247" t="str">
        <x:v>away_form_shots_on_target_against_avg_5</x:v>
      </x:c>
      <x:c r="C37" s="240" t="n">
        <x:v>4.049194056164211</x:v>
      </x:c>
      <x:c r="D37" s="240" t="n">
        <x:v>4.25</x:v>
      </x:c>
      <x:c r="E37" s="240" t="n">
        <x:v>0.17347451692650634</x:v>
      </x:c>
      <x:c r="F37" s="240" t="n">
        <x:v>0.17347451692650634</x:v>
      </x:c>
      <x:c r="G37" s="240" t="n">
        <x:v>0.9951127819548872</x:v>
      </x:c>
      <x:c r="H37" s="240" t="n">
        <x:v>1</x:v>
      </x:c>
      <x:c r="I37" s="141"/>
      <x:c r="J37" s="141"/>
      <x:c r="K37" s="141"/>
      <x:c r="L37" s="247" t="str">
        <x:f>A14</x:f>
        <x:v>form_shots_on_target_5_difference</x:v>
      </x:c>
      <x:c r="M37" s="240" t="n">
        <x:f>D14</x:f>
        <x:v>0.06207970468936551</x:v>
      </x:c>
    </x:row>
    <x:row r="38">
      <x:c r="A38" s="247" t="str">
        <x:v>test</x:v>
      </x:c>
      <x:c r="B38" s="247" t="str">
        <x:v>home_form_shots_on_target_for_avg_5</x:v>
      </x:c>
      <x:c r="C38" s="240" t="n">
        <x:v>4.047982854261219</x:v>
      </x:c>
      <x:c r="D38" s="240" t="n">
        <x:v>4.277894736842105</x:v>
      </x:c>
      <x:c r="E38" s="240" t="n">
        <x:v>0.17345257855197294</x:v>
      </x:c>
      <x:c r="F38" s="240" t="n">
        <x:v>0.17345257855197294</x:v>
      </x:c>
      <x:c r="G38" s="240" t="n">
        <x:v>0.9939849624060151</x:v>
      </x:c>
      <x:c r="H38" s="240" t="n">
        <x:v>1</x:v>
      </x:c>
      <x:c r="I38" s="141"/>
      <x:c r="J38" s="141"/>
      <x:c r="K38" s="141"/>
      <x:c r="L38" s="247" t="str">
        <x:f>A15</x:f>
        <x:v>home_elo_pre</x:v>
      </x:c>
      <x:c r="M38" s="240" t="n">
        <x:f>D15</x:f>
        <x:v>0.05691098300838191</x:v>
      </x:c>
    </x:row>
    <x:row r="39">
      <x:c r="A39" s="247" t="str">
        <x:v>test</x:v>
      </x:c>
      <x:c r="B39" s="247" t="str">
        <x:v>home_venue_win_rate_5</x:v>
      </x:c>
      <x:c r="C39" s="240" t="n">
        <x:v>0.4514379830229317</x:v>
      </x:c>
      <x:c r="D39" s="240" t="n">
        <x:v>0.4926315789473685</x:v>
      </x:c>
      <x:c r="E39" s="240" t="n">
        <x:v>0.15692445139596714</x:v>
      </x:c>
      <x:c r="F39" s="240" t="n">
        <x:v>0.15692445139596714</x:v>
      </x:c>
      <x:c r="G39" s="240" t="n">
        <x:v>0.9890977443609023</x:v>
      </x:c>
      <x:c r="H39" s="240" t="n">
        <x:v>1</x:v>
      </x:c>
      <x:c r="I39" s="141"/>
      <x:c r="J39" s="141"/>
      <x:c r="K39" s="141"/>
      <x:c r="L39" s="247" t="str">
        <x:f>A16</x:f>
        <x:v>venue_ppg_5_difference</x:v>
      </x:c>
      <x:c r="M39" s="240" t="n">
        <x:f>D16</x:f>
        <x:v>0.055106315446191254</x:v>
      </x:c>
    </x:row>
    <x:row r="40">
      <x:c r="A40" s="247" t="str">
        <x:v>test</x:v>
      </x:c>
      <x:c r="B40" s="247" t="str">
        <x:v>home_venue_ppg_5</x:v>
      </x:c>
      <x:c r="C40" s="240" t="n">
        <x:v>1.618225009502091</x:v>
      </x:c>
      <x:c r="D40" s="240" t="n">
        <x:v>1.7178947368421051</x:v>
      </x:c>
      <x:c r="E40" s="240" t="n">
        <x:v>0.14605426090045504</x:v>
      </x:c>
      <x:c r="F40" s="240" t="n">
        <x:v>0.14605426090045504</x:v>
      </x:c>
      <x:c r="G40" s="240" t="n">
        <x:v>0.9890977443609023</x:v>
      </x:c>
      <x:c r="H40" s="240" t="n">
        <x:v>1</x:v>
      </x:c>
      <x:c r="I40" s="141"/>
      <x:c r="J40" s="141"/>
      <x:c r="K40" s="141"/>
      <x:c r="L40" s="248" t="str">
        <x:f>A17</x:f>
        <x:v>away_season_goal_difference_avg_pre</x:v>
      </x:c>
      <x:c r="M40" s="245" t="n">
        <x:f>D17</x:f>
        <x:v>0.05398537080994858</x:v>
      </x:c>
    </x:row>
    <x:row r="41">
      <x:c r="A41" s="247" t="str">
        <x:v>test</x:v>
      </x:c>
      <x:c r="B41" s="247" t="str">
        <x:v>home_form_draw_rate_5</x:v>
      </x:c>
      <x:c r="C41" s="240" t="n">
        <x:v>0.2631807866868382</x:v>
      </x:c>
      <x:c r="D41" s="240" t="n">
        <x:v>0.23894736842105266</x:v>
      </x:c>
      <x:c r="E41" s="240" t="n">
        <x:v>-0.1223611840780835</x:v>
      </x:c>
      <x:c r="F41" s="240" t="n">
        <x:v>0.1223611840780835</x:v>
      </x:c>
      <x:c r="G41" s="240" t="n">
        <x:v>0.9939849624060151</x:v>
      </x:c>
      <x:c r="H41" s="240" t="n">
        <x:v>1</x:v>
      </x:c>
      <x:c r="I41" s="141"/>
      <x:c r="J41" s="141"/>
      <x:c r="K41" s="141"/>
      <x:c r="L41" s="141"/>
      <x:c r="M41" s="141"/>
    </x:row>
    <x:row r="42">
      <x:c r="A42" s="247" t="str">
        <x:v>test</x:v>
      </x:c>
      <x:c r="B42" s="247" t="str">
        <x:v>venue_ppg_5_difference</x:v>
      </x:c>
      <x:c r="C42" s="240" t="n">
        <x:v>0.4885392829900839</x:v>
      </x:c>
      <x:c r="D42" s="240" t="n">
        <x:v>0.6042105263157896</x:v>
      </x:c>
      <x:c r="E42" s="240" t="n">
        <x:v>0.12224970824192831</x:v>
      </x:c>
      <x:c r="F42" s="240" t="n">
        <x:v>0.12224970824192831</x:v>
      </x:c>
      <x:c r="G42" s="240" t="n">
        <x:v>0.9857142857142858</x:v>
      </x:c>
      <x:c r="H42" s="240" t="n">
        <x:v>1</x:v>
      </x:c>
      <x:c r="I42" s="141"/>
      <x:c r="J42" s="141"/>
      <x:c r="K42" s="141"/>
      <x:c r="L42" s="141"/>
      <x:c r="M42" s="141"/>
    </x:row>
    <x:row r="43">
      <x:c r="A43" s="247" t="str">
        <x:v>test</x:v>
      </x:c>
      <x:c r="B43" s="247" t="str">
        <x:v>home_venue_goals_for_avg_5</x:v>
      </x:c>
      <x:c r="C43" s="240" t="n">
        <x:v>1.4771253008995313</x:v>
      </x:c>
      <x:c r="D43" s="240" t="n">
        <x:v>1.5584210526315792</x:v>
      </x:c>
      <x:c r="E43" s="240" t="n">
        <x:v>0.11445418193877943</x:v>
      </x:c>
      <x:c r="F43" s="240" t="n">
        <x:v>0.11445418193877943</x:v>
      </x:c>
      <x:c r="G43" s="240" t="n">
        <x:v>0.9890977443609023</x:v>
      </x:c>
      <x:c r="H43" s="240" t="n">
        <x:v>1</x:v>
      </x:c>
      <x:c r="I43" s="141"/>
      <x:c r="J43" s="141"/>
      <x:c r="K43" s="141"/>
      <x:c r="L43" s="141"/>
      <x:c r="M43" s="141"/>
    </x:row>
    <x:row r="44">
      <x:c r="A44" s="247" t="str">
        <x:v>test</x:v>
      </x:c>
      <x:c r="B44" s="247" t="str">
        <x:v>home_season_goals_against_avg_pre</x:v>
      </x:c>
      <x:c r="C44" s="240" t="n">
        <x:v>1.2882942724640236</x:v>
      </x:c>
      <x:c r="D44" s="240" t="n">
        <x:v>1.3381514024021377</x:v>
      </x:c>
      <x:c r="E44" s="240" t="n">
        <x:v>0.11262551542359847</x:v>
      </x:c>
      <x:c r="F44" s="240" t="n">
        <x:v>0.11262551542359847</x:v>
      </x:c>
      <x:c r="G44" s="240" t="n">
        <x:v>0.9733082706766917</x:v>
      </x:c>
      <x:c r="H44" s="240" t="n">
        <x:v>0.9736842105263158</x:v>
      </x:c>
      <x:c r="I44" s="141"/>
      <x:c r="J44" s="141"/>
      <x:c r="K44" s="141"/>
      <x:c r="L44" s="141"/>
      <x:c r="M44" s="141"/>
    </x:row>
    <x:row r="45">
      <x:c r="A45" s="248" t="str">
        <x:v>test</x:v>
      </x:c>
      <x:c r="B45" s="248" t="str">
        <x:v>away_form_goals_for_avg_10</x:v>
      </x:c>
      <x:c r="C45" s="245" t="n">
        <x:v>1.3144293329975234</x:v>
      </x:c>
      <x:c r="D45" s="245" t="n">
        <x:v>1.3710526315789473</x:v>
      </x:c>
      <x:c r="E45" s="245" t="n">
        <x:v>0.10653495392892788</x:v>
      </x:c>
      <x:c r="F45" s="245" t="n">
        <x:v>0.10653495392892788</x:v>
      </x:c>
      <x:c r="G45" s="245" t="n">
        <x:v>0.9951127819548872</x:v>
      </x:c>
      <x:c r="H45" s="245" t="n">
        <x:v>1</x:v>
      </x:c>
      <x:c r="I45" s="141"/>
      <x:c r="J45" s="141"/>
      <x:c r="K45" s="141"/>
      <x:c r="L45" s="141"/>
      <x:c r="M45" s="141"/>
    </x:row>
  </x:sheetData>
  <x:mergeCells>
    <x:mergeCell ref="A1:H1"/>
    <x:mergeCell ref="A24:H24"/>
  </x:mergeCells>
  <x:pageMargins left="0.7" right="0.7" top="0.75" bottom="0.75" header="0.3" footer="0.3"/>
  <x:drawing xmlns:r="http://schemas.openxmlformats.org/officeDocument/2006/relationships" r:id="Re360e6161bc0482d"/>
  <x:legacyDrawing xmlns:r="http://schemas.openxmlformats.org/officeDocument/2006/relationships" r:id="R2988507b0d8040ac"/>
</x:worksheet>
</file>