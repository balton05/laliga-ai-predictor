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678007658148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2f2f19e7871a48d8"/>
    <x:sheet xmlns:r="http://schemas.openxmlformats.org/officeDocument/2006/relationships" name="Proxima jornada" sheetId="2" r:id="R6770e82a93314534"/>
    <x:sheet xmlns:r="http://schemas.openxmlformats.org/officeDocument/2006/relationships" name="Tabla actual" sheetId="3" r:id="Rb72b8de3c7a24b6c"/>
    <x:sheet xmlns:r="http://schemas.openxmlformats.org/officeDocument/2006/relationships" name="Simulacion" sheetId="4" r:id="R97226e4d2b334852"/>
    <x:sheet xmlns:r="http://schemas.openxmlformats.org/officeDocument/2006/relationships" name="Cambios" sheetId="5" r:id="R4cd357ac44f54c03"/>
    <x:sheet xmlns:r="http://schemas.openxmlformats.org/officeDocument/2006/relationships" name="Estado equipos" sheetId="6" r:id="R360a02fc52964205"/>
    <x:sheet xmlns:r="http://schemas.openxmlformats.org/officeDocument/2006/relationships" name="Actualizaciones" sheetId="7" r:id="Rc5fd3f9e3ace4258"/>
    <x:sheet xmlns:r="http://schemas.openxmlformats.org/officeDocument/2006/relationships" name="Calidad y guia" sheetId="8" r:id="R7f2cb529fee34a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0.0&quot;%&quot;"/>
    <x:numFmt numFmtId="202" formatCode="0.0%"/>
    <x:numFmt numFmtId="203" formatCode="0.00"/>
    <x:numFmt numFmtId="204" formatCode="0.0"/>
    <x:numFmt numFmtId="205" formatCode="0.00%"/>
    <x:numFmt numFmtId="206" formatCode="yyyy-mm-dd hh:mm"/>
    <x:numFmt numFmtId="207" formatCode="yyyy-mm-dd"/>
  </x:numFmts>
  <x:fonts count="16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334155"/>
      <x:name val="Aptos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sz val="10"/>
      <x:name val="Aptos"/>
    </x:font>
    <x:font>
      <x:b/>
      <x:sz val="11"/>
      <x:color rgb="FFFFFFFF"/>
      <x:name val="Carlito"/>
    </x:font>
    <x:font>
      <x:sz val="11"/>
      <x:color rgb="FF334155"/>
      <x:name val="Carlito"/>
    </x:font>
    <x:font>
      <x:b/>
      <x:sz val="18"/>
      <x:color rgb="FF0F766E"/>
      <x:name val="Carlito"/>
    </x:font>
    <x:font>
      <x:b/>
      <x:sz val="9"/>
      <x:color rgb="FF475569"/>
      <x:name val="Carlito"/>
    </x:font>
    <x:font>
      <x:b/>
      <x:sz val="18"/>
      <x:color rgb="FF2563EB"/>
      <x:name val="Carlito"/>
    </x:font>
    <x:font>
      <x:b/>
      <x:sz val="18"/>
      <x:color rgb="FF7C3AED"/>
      <x:name val="Carlito"/>
    </x:font>
    <x:font>
      <x:b/>
      <x:sz val="18"/>
      <x:color rgb="FFD97706"/>
      <x:name val="Carlito"/>
    </x:font>
    <x:font>
      <x:b/>
      <x:sz val="18"/>
      <x:color rgb="FF0891B2"/>
      <x:name val="Carlito"/>
    </x:font>
    <x:font>
      <x:b/>
      <x:sz val="18"/>
      <x:color rgb="FF475569"/>
      <x:name val="Carlito"/>
    </x:font>
    <x:font>
      <x:b/>
      <x:sz val="11"/>
      <x:color rgb="FF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12">
    <x:border/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4" xfId="0" applyNumberFormat="1" applyFont="1" applyFill="1" applyBorder="1"/>
    <x:xf numFmtId="0" fontId="7" fillId="5" borderId="5" xfId="0" applyNumberFormat="1" applyFont="1" applyFill="1" applyBorder="1"/>
    <x:xf numFmtId="0" fontId="7" fillId="5" borderId="6" xfId="0" applyNumberFormat="1" applyFont="1" applyFill="1" applyBorder="1"/>
    <x:xf numFmtId="0" fontId="7" fillId="5" borderId="7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0" fontId="7" fillId="5" borderId="4" xfId="0" applyNumberFormat="1" applyFont="1" applyFill="1" applyBorder="1" applyAlignment="1">
      <x:alignment wrapText="1"/>
    </x:xf>
    <x:xf numFmtId="0" fontId="7" fillId="5" borderId="5" xfId="0" applyNumberFormat="1" applyFont="1" applyFill="1" applyBorder="1" applyAlignment="1">
      <x:alignment wrapText="1"/>
    </x:xf>
    <x:xf numFmtId="0" fontId="7" fillId="5" borderId="6" xfId="0" applyNumberFormat="1" applyFont="1" applyFill="1" applyBorder="1" applyAlignment="1">
      <x:alignment wrapText="1"/>
    </x:xf>
    <x:xf numFmtId="0" fontId="7" fillId="5" borderId="7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8" xfId="0" applyNumberFormat="1" applyFont="1" applyFill="1" applyBorder="1" applyAlignment="1">
      <x:alignment wrapText="1"/>
    </x:xf>
    <x:xf numFmtId="0" fontId="7" fillId="5" borderId="9" xfId="0" applyNumberFormat="1" applyFont="1" applyFill="1" applyBorder="1" applyAlignment="1">
      <x:alignment wrapText="1"/>
    </x:xf>
    <x:xf numFmtId="0" fontId="7" fillId="5" borderId="10" xfId="0" applyNumberFormat="1" applyFont="1" applyFill="1" applyBorder="1" applyAlignment="1">
      <x:alignment wrapText="1"/>
    </x:xf>
    <x:xf numFmtId="0" fontId="7" fillId="5" borderId="11" xfId="0" applyNumberFormat="1" applyFont="1" applyFill="1" applyBorder="1" applyAlignment="1">
      <x:alignment wrapText="1"/>
    </x:xf>
    <x:xf numFmtId="0" fontId="0" fillId="5" borderId="4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1" xfId="0" applyNumberFormat="1" applyFont="1" applyFill="1" applyBorder="1"/>
    <x:xf numFmtId="0" fontId="0" fillId="5" borderId="4" xfId="0" applyNumberFormat="1" applyFont="1" applyFill="1" applyBorder="1" applyAlignment="1">
      <x:alignment horizontal="center"/>
    </x:xf>
    <x:xf numFmtId="0" fontId="0" fillId="5" borderId="6" xfId="0" applyNumberFormat="1" applyFont="1" applyFill="1" applyBorder="1" applyAlignment="1">
      <x:alignment horizontal="center"/>
    </x:xf>
    <x:xf numFmtId="0" fontId="0" fillId="5" borderId="7" xfId="0" applyNumberFormat="1" applyFont="1" applyFill="1" applyBorder="1" applyAlignment="1">
      <x:alignment horizontal="center"/>
    </x:xf>
    <x:xf numFmtId="0" fontId="0" fillId="5" borderId="8" xfId="0" applyNumberFormat="1" applyFont="1" applyFill="1" applyBorder="1" applyAlignment="1">
      <x:alignment horizontal="center"/>
    </x:xf>
    <x:xf numFmtId="0" fontId="0" fillId="5" borderId="9" xfId="0" applyNumberFormat="1" applyFont="1" applyFill="1" applyBorder="1" applyAlignment="1">
      <x:alignment horizontal="center"/>
    </x:xf>
    <x:xf numFmtId="0" fontId="0" fillId="5" borderId="11" xfId="0" applyNumberFormat="1" applyFont="1" applyFill="1" applyBorder="1" applyAlignment="1">
      <x:alignment horizontal="center"/>
    </x:xf>
    <x:xf numFmtId="0" fontId="0" fillId="5" borderId="4" xfId="0" applyNumberFormat="1" applyFont="1" applyFill="1" applyBorder="1" applyAlignment="1">
      <x:alignment horizontal="center" vertical="center"/>
    </x:xf>
    <x:xf numFmtId="0" fontId="0" fillId="5" borderId="6" xfId="0" applyNumberFormat="1" applyFont="1" applyFill="1" applyBorder="1" applyAlignment="1">
      <x:alignment horizontal="center" vertical="center"/>
    </x:xf>
    <x:xf numFmtId="0" fontId="0" fillId="5" borderId="7" xfId="0" applyNumberFormat="1" applyFont="1" applyFill="1" applyBorder="1" applyAlignment="1">
      <x:alignment horizontal="center" vertical="center"/>
    </x:xf>
    <x:xf numFmtId="0" fontId="0" fillId="5" borderId="8" xfId="0" applyNumberFormat="1" applyFont="1" applyFill="1" applyBorder="1" applyAlignment="1">
      <x:alignment horizontal="center" vertical="center"/>
    </x:xf>
    <x:xf numFmtId="0" fontId="0" fillId="5" borderId="9" xfId="0" applyNumberFormat="1" applyFont="1" applyFill="1" applyBorder="1" applyAlignment="1">
      <x:alignment horizontal="center" vertical="center"/>
    </x:xf>
    <x:xf numFmtId="0" fontId="0" fillId="5" borderId="11" xfId="0" applyNumberFormat="1" applyFont="1" applyFill="1" applyBorder="1" applyAlignment="1">
      <x:alignment horizontal="center" vertical="center"/>
    </x:xf>
    <x:xf numFmtId="0" fontId="8" fillId="5" borderId="4" xfId="0" applyNumberFormat="1" applyFont="1" applyFill="1" applyBorder="1" applyAlignment="1">
      <x:alignment horizontal="center" vertical="center"/>
    </x:xf>
    <x:xf numFmtId="0" fontId="8" fillId="5" borderId="6" xfId="0" applyNumberFormat="1" applyFont="1" applyFill="1" applyBorder="1" applyAlignment="1">
      <x:alignment horizontal="center" vertical="center"/>
    </x:xf>
    <x:xf numFmtId="0" fontId="8" fillId="5" borderId="7" xfId="0" applyNumberFormat="1" applyFont="1" applyFill="1" applyBorder="1" applyAlignment="1">
      <x:alignment horizontal="center" vertical="center"/>
    </x:xf>
    <x:xf numFmtId="0" fontId="8" fillId="5" borderId="8" xfId="0" applyNumberFormat="1" applyFont="1" applyFill="1" applyBorder="1" applyAlignment="1">
      <x:alignment horizontal="center" vertical="center"/>
    </x:xf>
    <x:xf numFmtId="0" fontId="9" fillId="5" borderId="9" xfId="0" applyNumberFormat="1" applyFont="1" applyFill="1" applyBorder="1" applyAlignment="1">
      <x:alignment horizontal="center" vertical="center"/>
    </x:xf>
    <x:xf numFmtId="0" fontId="9" fillId="5" borderId="11" xfId="0" applyNumberFormat="1" applyFont="1" applyFill="1" applyBorder="1" applyAlignment="1">
      <x:alignment horizontal="center" vertical="center"/>
    </x:xf>
    <x:xf numFmtId="0" fontId="10" fillId="5" borderId="4" xfId="0" applyNumberFormat="1" applyFont="1" applyFill="1" applyBorder="1" applyAlignment="1">
      <x:alignment horizontal="center" vertical="center"/>
    </x:xf>
    <x:xf numFmtId="0" fontId="10" fillId="5" borderId="6" xfId="0" applyNumberFormat="1" applyFont="1" applyFill="1" applyBorder="1" applyAlignment="1">
      <x:alignment horizontal="center" vertical="center"/>
    </x:xf>
    <x:xf numFmtId="0" fontId="10" fillId="5" borderId="7" xfId="0" applyNumberFormat="1" applyFont="1" applyFill="1" applyBorder="1" applyAlignment="1">
      <x:alignment horizontal="center" vertical="center"/>
    </x:xf>
    <x:xf numFmtId="0" fontId="10" fillId="5" borderId="8" xfId="0" applyNumberFormat="1" applyFont="1" applyFill="1" applyBorder="1" applyAlignment="1">
      <x:alignment horizontal="center" vertical="center"/>
    </x:xf>
    <x:xf numFmtId="0" fontId="11" fillId="5" borderId="4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2" fillId="5" borderId="4" xfId="0" applyNumberFormat="1" applyFont="1" applyFill="1" applyBorder="1" applyAlignment="1">
      <x:alignment horizontal="center" vertical="center"/>
    </x:xf>
    <x:xf numFmtId="0" fontId="12" fillId="5" borderId="6" xfId="0" applyNumberFormat="1" applyFont="1" applyFill="1" applyBorder="1" applyAlignment="1">
      <x:alignment horizontal="center" vertical="center"/>
    </x:xf>
    <x:xf numFmtId="0" fontId="12" fillId="5" borderId="7" xfId="0" applyNumberFormat="1" applyFont="1" applyFill="1" applyBorder="1" applyAlignment="1">
      <x:alignment horizontal="center" vertical="center"/>
    </x:xf>
    <x:xf numFmtId="0" fontId="12" fillId="5" borderId="8" xfId="0" applyNumberFormat="1" applyFont="1" applyFill="1" applyBorder="1" applyAlignment="1">
      <x:alignment horizontal="center" vertical="center"/>
    </x:xf>
    <x:xf numFmtId="0" fontId="13" fillId="5" borderId="4" xfId="0" applyNumberFormat="1" applyFont="1" applyFill="1" applyBorder="1" applyAlignment="1">
      <x:alignment horizontal="center" vertical="center"/>
    </x:xf>
    <x:xf numFmtId="0" fontId="13" fillId="5" borderId="6" xfId="0" applyNumberFormat="1" applyFont="1" applyFill="1" applyBorder="1" applyAlignment="1">
      <x:alignment horizontal="center" vertical="center"/>
    </x:xf>
    <x:xf numFmtId="0" fontId="13" fillId="5" borderId="7" xfId="0" applyNumberFormat="1" applyFont="1" applyFill="1" applyBorder="1" applyAlignment="1">
      <x:alignment horizontal="center" vertical="center"/>
    </x:xf>
    <x:xf numFmtId="0" fontId="13" fillId="5" borderId="8" xfId="0" applyNumberFormat="1" applyFont="1" applyFill="1" applyBorder="1" applyAlignment="1">
      <x:alignment horizontal="center" vertical="center"/>
    </x:xf>
    <x:xf numFmtId="0" fontId="14" fillId="5" borderId="4" xfId="0" applyNumberFormat="1" applyFont="1" applyFill="1" applyBorder="1" applyAlignment="1">
      <x:alignment horizontal="center" vertical="center"/>
    </x:xf>
    <x:xf numFmtId="0" fontId="14" fillId="5" borderId="6" xfId="0" applyNumberFormat="1" applyFont="1" applyFill="1" applyBorder="1" applyAlignment="1">
      <x:alignment horizontal="center" vertical="center"/>
    </x:xf>
    <x:xf numFmtId="0" fontId="14" fillId="5" borderId="7" xfId="0" applyNumberFormat="1" applyFont="1" applyFill="1" applyBorder="1" applyAlignment="1">
      <x:alignment horizontal="center" vertical="center"/>
    </x:xf>
    <x:xf numFmtId="0" fontId="14" fillId="5" borderId="8" xfId="0" applyNumberFormat="1" applyFont="1" applyFill="1" applyBorder="1" applyAlignment="1">
      <x:alignment horizontal="center" vertical="center"/>
    </x:xf>
    <x:xf numFmtId="200" fontId="14" fillId="5" borderId="4" xfId="0" applyNumberFormat="1" applyFont="1" applyFill="1" applyBorder="1" applyAlignment="1">
      <x:alignment horizontal="center" vertical="center"/>
    </x:xf>
    <x:xf numFmtId="200" fontId="14" fillId="5" borderId="6" xfId="0" applyNumberFormat="1" applyFont="1" applyFill="1" applyBorder="1" applyAlignment="1">
      <x:alignment horizontal="center" vertical="center"/>
    </x:xf>
    <x:xf numFmtId="200" fontId="14" fillId="5" borderId="7" xfId="0" applyNumberFormat="1" applyFont="1" applyFill="1" applyBorder="1" applyAlignment="1">
      <x:alignment horizontal="center" vertical="center"/>
    </x:xf>
    <x:xf numFmtId="200" fontId="14" fillId="5" borderId="8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5" fillId="6" borderId="0" xfId="0" applyNumberFormat="1" applyFont="1" applyFill="1" applyBorder="1"/>
    <x:xf numFmtId="0" fontId="15" fillId="6" borderId="0" xfId="0" applyNumberFormat="1" applyFont="1" applyFill="1" applyBorder="1" applyAlignment="1">
      <x:alignment wrapText="1"/>
    </x:xf>
    <x:xf numFmtId="0" fontId="15" fillId="6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205" fontId="5" fillId="0" borderId="0" xfId="0" applyNumberFormat="1" applyFont="1" applyFill="1" applyBorder="1"/>
    <x:xf numFmtId="206" fontId="5" fillId="0" borderId="0" xfId="0" applyNumberFormat="1" applyFont="1" applyFill="1" applyBorder="1"/>
    <x:xf numFmtId="207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ecc1fb52754fc1" /><Relationship Type="http://schemas.openxmlformats.org/officeDocument/2006/relationships/theme" Target="/xl/theme/theme1.xml" Id="R3583f6075bf74314" /><Relationship Type="http://schemas.microsoft.com/office/2022/11/relationships/FeaturePropertyBag" Target="/xl/featurePropertyBag/featurePropertyBag.xml" Id="R1601937504e148a1" /><Relationship Type="http://schemas.openxmlformats.org/officeDocument/2006/relationships/sharedStrings" Target="/xl/sharedStrings.xml" Id="Rfdb4397ff0c44388" /><Relationship Type="http://schemas.openxmlformats.org/officeDocument/2006/relationships/worksheet" Target="/xl/worksheets/sheet1.xml" Id="R2f2f19e7871a48d8" /><Relationship Type="http://schemas.openxmlformats.org/officeDocument/2006/relationships/worksheet" Target="/xl/worksheets/sheet2.xml" Id="R6770e82a93314534" /><Relationship Type="http://schemas.openxmlformats.org/officeDocument/2006/relationships/worksheet" Target="/xl/worksheets/sheet3.xml" Id="Rb72b8de3c7a24b6c" /><Relationship Type="http://schemas.openxmlformats.org/officeDocument/2006/relationships/worksheet" Target="/xl/worksheets/sheet4.xml" Id="R97226e4d2b334852" /><Relationship Type="http://schemas.openxmlformats.org/officeDocument/2006/relationships/worksheet" Target="/xl/worksheets/sheet5.xml" Id="R4cd357ac44f54c03" /><Relationship Type="http://schemas.openxmlformats.org/officeDocument/2006/relationships/worksheet" Target="/xl/worksheets/sheet6.xml" Id="R360a02fc52964205" /><Relationship Type="http://schemas.openxmlformats.org/officeDocument/2006/relationships/worksheet" Target="/xl/worksheets/sheet7.xml" Id="Rc5fd3f9e3ace4258" /><Relationship Type="http://schemas.openxmlformats.org/officeDocument/2006/relationships/worksheet" Target="/xl/worksheets/sheet8.xml" Id="R7f2cb529fee34aa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bfef4176606492d" /><Relationship Type="http://schemas.openxmlformats.org/officeDocument/2006/relationships/chart" Target="/xl/drawings/charts/chart2.xml" Id="R4f81617e54a7466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Principales candidatos al título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Campeón</c:v>
          </c:tx>
          <c:cat>
            <c:strRef>
              <c:f>'Control'!$A$12:$A$16</c:f>
              <c:strCache>
                <c:ptCount val="0"/>
              </c:strCache>
            </c:strRef>
          </c:cat>
          <c:val>
            <c:numRef>
              <c:f>'Control'!$B$12:$B$16</c:f>
              <c:numCache>
                <c:formatCode>0.0"%"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Mayor riesgo de descenso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Descenso</c:v>
          </c:tx>
          <c:cat>
            <c:strRef>
              <c:f>'Control'!$D$12:$D$16</c:f>
              <c:strCache>
                <c:ptCount val="0"/>
              </c:strCache>
            </c:strRef>
          </c:cat>
          <c:val>
            <c:numRef>
              <c:f>'Control'!$E$12:$E$16</c:f>
              <c:numCache>
                <c:formatCode>0.0"%"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18</xdr:row>
      <xdr:rowOff>0</xdr:rowOff>
    </xdr:from>
    <xdr:to>
      <xdr:col>7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fef4176606492d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81617e54a74662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NextMatchdayTable" displayName="NextMatchdayTable" ref="A5:L15" headerRowCount="1" totalsRowCount="0" totalsRowShown="0">
  <x:tableColumns count="12">
    <x:tableColumn id="1" name="Jornada"/>
    <x:tableColumn id="2" name="Local"/>
    <x:tableColumn id="3" name="Visitante"/>
    <x:tableColumn id="4" name="Modelo"/>
    <x:tableColumn id="5" name="P(Local)"/>
    <x:tableColumn id="6" name="P(Empate)"/>
    <x:tableColumn id="7" name="P(Visitante)"/>
    <x:tableColumn id="8" name="Pronóstico"/>
    <x:tableColumn id="9" name="Marcador"/>
    <x:tableColumn id="10" name="xG local"/>
    <x:tableColumn id="11" name="xG visitante"/>
    <x:tableColumn id="12" name="Confianz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rrentTable" displayName="CurrentTable" ref="A5:K25" headerRowCount="1" totalsRowCount="0" totalsRowShown="0">
  <x:tableColumns count="11">
    <x:tableColumn id="1" name="Pos."/>
    <x:tableColumn id="2" name="Equipo"/>
    <x:tableColumn id="3" name="PJ"/>
    <x:tableColumn id="4" name="G"/>
    <x:tableColumn id="5" name="E"/>
    <x:tableColumn id="6" name="P"/>
    <x:tableColumn id="7" name="GF"/>
    <x:tableColumn id="8" name="GC"/>
    <x:tableColumn id="9" name="DG"/>
    <x:tableColumn id="10" name="Pts."/>
    <x:tableColumn id="11" name="PP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ynamicSimulation" displayName="DynamicSimulation" ref="A5:I25" headerRowCount="1" totalsRowCount="0" totalsRowShown="0">
  <x:tableColumns count="9">
    <x:tableColumn id="1" name="Equipo"/>
    <x:tableColumn id="2" name="Puntos esperados"/>
    <x:tableColumn id="3" name="Posición esperada"/>
    <x:tableColumn id="4" name="Campeón"/>
    <x:tableColumn id="5" name="Top 4"/>
    <x:tableColumn id="6" name="Top 7"/>
    <x:tableColumn id="7" name="Descenso"/>
    <x:tableColumn id="8" name="Puntos P05"/>
    <x:tableColumn id="9" name="Puntos P95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eseasonChanges" displayName="PreseasonChanges" ref="A5:I25" headerRowCount="1" totalsRowCount="0" totalsRowShown="0">
  <x:tableColumns count="9">
    <x:tableColumn id="1" name="Equipo"/>
    <x:tableColumn id="2" name="Campeón actual"/>
    <x:tableColumn id="3" name="Δ Campeón"/>
    <x:tableColumn id="4" name="Δ Top 4"/>
    <x:tableColumn id="5" name="Δ Top 7"/>
    <x:tableColumn id="6" name="Descenso actual"/>
    <x:tableColumn id="7" name="Δ Descenso"/>
    <x:tableColumn id="8" name="Puntos actuales"/>
    <x:tableColumn id="9" name="Δ Punto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eamState" displayName="TeamState" ref="A5:N25" headerRowCount="1" totalsRowCount="0" totalsRowShown="0">
  <x:tableColumns count="14">
    <x:tableColumn id="1" name="Equipo"/>
    <x:tableColumn id="2" name="Ascendido"/>
    <x:tableColumn id="3" name="PJ actuales"/>
    <x:tableColumn id="4" name="PPG forma 5"/>
    <x:tableColumn id="5" name="% victorias 5"/>
    <x:tableColumn id="6" name="GF forma 5"/>
    <x:tableColumn id="7" name="GC forma 5"/>
    <x:tableColumn id="8" name="PPG local 5"/>
    <x:tableColumn id="9" name="PPG visita 5"/>
    <x:tableColumn id="10" name="PPG temporada"/>
    <x:tableColumn id="11" name="Posición"/>
    <x:tableColumn id="12" name="Elo"/>
    <x:tableColumn id="13" name="Puntos"/>
    <x:tableColumn id="14" name="DG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UpdateLog" displayName="UpdateLog" ref="A5:K6" headerRowCount="1" totalsRowCount="0" totalsRowShown="0">
  <x:tableColumns count="11">
    <x:tableColumn id="1" name="Update ID"/>
    <x:tableColumn id="2" name="Creado UTC"/>
    <x:tableColumn id="3" name="Fecha snapshot"/>
    <x:tableColumn id="4" name="Partidos jugados"/>
    <x:tableColumn id="5" name="Jornadas completas"/>
    <x:tableColumn id="6" name="Partidos pendientes"/>
    <x:tableColumn id="7" name="Próxima jornada"/>
    <x:tableColumn id="8" name="Pred. mercado"/>
    <x:tableColumn id="9" name="Pred. deportivas"/>
    <x:tableColumn id="10" name="Simulaciones"/>
    <x:tableColumn id="11" name="Calidad OK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QualityChecksPhase9" displayName="QualityChecksPhase9" ref="A5:C21" headerRowCount="1" totalsRowCount="0" totalsRowShown="0">
  <x:tableColumns count="3">
    <x:tableColumn id="1" name="Control"/>
    <x:tableColumn id="2" name="Superado"/>
    <x:tableColumn id="3" name="Va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34bae4f0a9e4a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db1af9cbd749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50df0280964a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e14c0ffe1143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b8a10b18144d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eff91e0af4d48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15025e07dbd483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4f9e7e8c4ff41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3" max="3" width="12" hidden="0" customWidth="1"/>
    <x:col min="4" max="4" width="25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3" t="str">
        <x:v>LaLiga AI Predictor — Control dinámico 2026/27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2" customHeight="1">
      <x:c r="A2" s="7" t="str">
        <x:v>Fase 9 | update_id 7f6a923c1a4600d7 | snapshot 2026-08-16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68" t="n">
        <x:f>'Actualizaciones'!D6</x:f>
        <x:v>0</x:v>
      </x:c>
      <x:c r="B4" s="69"/>
      <x:c r="C4" s="74" t="n">
        <x:f>'Actualizaciones'!E6</x:f>
        <x:v>0</x:v>
      </x:c>
      <x:c r="D4" s="75"/>
      <x:c r="E4" s="78" t="n">
        <x:f>'Actualizaciones'!F6</x:f>
        <x:v>380</x:v>
      </x:c>
      <x:c r="F4" s="79"/>
      <x:c r="G4" s="82" t="n">
        <x:f>'Actualizaciones'!G6</x:f>
        <x:v>1</x:v>
      </x:c>
      <x:c r="H4" s="83"/>
      <x:c r="I4" s="86" t="n">
        <x:f>'Actualizaciones'!H6</x:f>
        <x:v>0</x:v>
      </x:c>
      <x:c r="J4" s="87"/>
      <x:c r="K4" s="94" t="n">
        <x:f>'Actualizaciones'!J6</x:f>
        <x:v>50000</x:v>
      </x:c>
      <x:c r="L4" s="95"/>
    </x:row>
    <x:row r="5">
      <x:c r="A5" s="70"/>
      <x:c r="B5" s="71"/>
      <x:c r="C5" s="76"/>
      <x:c r="D5" s="77"/>
      <x:c r="E5" s="80"/>
      <x:c r="F5" s="81"/>
      <x:c r="G5" s="84"/>
      <x:c r="H5" s="85"/>
      <x:c r="I5" s="88"/>
      <x:c r="J5" s="89"/>
      <x:c r="K5" s="96"/>
      <x:c r="L5" s="97"/>
    </x:row>
    <x:row r="6">
      <x:c r="A6" s="72" t="str">
        <x:v>Partidos jugados</x:v>
      </x:c>
      <x:c r="B6" s="73"/>
      <x:c r="C6" s="72" t="str">
        <x:v>Jornadas completas</x:v>
      </x:c>
      <x:c r="D6" s="73"/>
      <x:c r="E6" s="72" t="str">
        <x:v>Partidos pendientes</x:v>
      </x:c>
      <x:c r="F6" s="73"/>
      <x:c r="G6" s="72" t="str">
        <x:v>Próxima jornada</x:v>
      </x:c>
      <x:c r="H6" s="73"/>
      <x:c r="I6" s="72" t="str">
        <x:v>Con mercado</x:v>
      </x:c>
      <x:c r="J6" s="73"/>
      <x:c r="K6" s="72" t="str">
        <x:v>Simulaciones</x:v>
      </x:c>
      <x:c r="L6" s="73"/>
    </x:row>
    <x:row r="8" ht="34" customHeight="1">
      <x:c r="A8" s="101" t="str">
        <x:v>Estado actual: pretemporada. No se han cargado resultados ni cuotas; las probabilidades coinciden exactamente con la Fase 8.</x:v>
      </x:c>
      <x:c r="B8" s="101"/>
      <x:c r="C8" s="101"/>
      <x:c r="D8" s="101"/>
      <x:c r="E8" s="101"/>
      <x:c r="F8" s="101"/>
      <x:c r="G8" s="101"/>
      <x:c r="H8" s="101"/>
      <x:c r="I8" s="101"/>
      <x:c r="J8" s="101"/>
      <x:c r="K8" s="101"/>
      <x:c r="L8" s="101"/>
    </x:row>
    <x:row r="11" ht="32" customHeight="1">
      <x:c r="A11" s="19" t="str">
        <x:v>Equipo</x:v>
      </x:c>
      <x:c r="B11" s="21" t="str">
        <x:v>Campeón</x:v>
      </x:c>
      <x:c r="D11" s="19" t="str">
        <x:v>Equipo</x:v>
      </x:c>
      <x:c r="E11" s="21" t="str">
        <x:v>Descenso</x:v>
      </x:c>
    </x:row>
    <x:row r="12">
      <x:c r="A12" t="str">
        <x:f>'Simulacion'!A6</x:f>
        <x:v>FC Barcelona</x:v>
      </x:c>
      <x:c r="B12" s="102" t="n">
        <x:f>'Simulacion'!D6*100</x:f>
        <x:v>53.748</x:v>
      </x:c>
      <x:c r="D12" t="str">
        <x:f>'Simulacion'!A25</x:f>
        <x:v>RC Deportivo</x:v>
      </x:c>
      <x:c r="E12" s="102" t="n">
        <x:f>'Simulacion'!G25*100</x:f>
        <x:v>50.03999999999999</x:v>
      </x:c>
    </x:row>
    <x:row r="13">
      <x:c r="A13" t="str">
        <x:f>'Simulacion'!A7</x:f>
        <x:v>Real Madrid</x:v>
      </x:c>
      <x:c r="B13" s="102" t="n">
        <x:f>'Simulacion'!D7*100</x:f>
        <x:v>33.054</x:v>
      </x:c>
      <x:c r="D13" t="str">
        <x:f>'Simulacion'!A24</x:f>
        <x:v>Racing de Santander</x:v>
      </x:c>
      <x:c r="E13" s="102" t="n">
        <x:f>'Simulacion'!G24*100</x:f>
        <x:v>38.013999999999996</x:v>
      </x:c>
    </x:row>
    <x:row r="14">
      <x:c r="A14" t="str">
        <x:f>'Simulacion'!A8</x:f>
        <x:v>Villarreal CF</x:v>
      </x:c>
      <x:c r="B14" s="102" t="n">
        <x:f>'Simulacion'!D8*100</x:f>
        <x:v>5.9479999999999995</x:v>
      </x:c>
      <x:c r="D14" t="str">
        <x:f>'Simulacion'!A23</x:f>
        <x:v>Málaga CF</x:v>
      </x:c>
      <x:c r="E14" s="102" t="n">
        <x:f>'Simulacion'!G23*100</x:f>
        <x:v>35.736000000000004</x:v>
      </x:c>
    </x:row>
    <x:row r="15">
      <x:c r="A15" t="str">
        <x:f>'Simulacion'!A9</x:f>
        <x:v>Atlético de Madrid</x:v>
      </x:c>
      <x:c r="B15" s="102" t="n">
        <x:f>'Simulacion'!D9*100</x:f>
        <x:v>4.216</x:v>
      </x:c>
      <x:c r="D15" t="str">
        <x:f>'Simulacion'!A22</x:f>
        <x:v>RCD Espanyol</x:v>
      </x:c>
      <x:c r="E15" s="102" t="n">
        <x:f>'Simulacion'!G22*100</x:f>
        <x:v>21.244</x:v>
      </x:c>
    </x:row>
    <x:row r="16">
      <x:c r="A16" t="str">
        <x:f>'Simulacion'!A10</x:f>
        <x:v>Real Betis</x:v>
      </x:c>
      <x:c r="B16" s="102" t="n">
        <x:f>'Simulacion'!D10*100</x:f>
        <x:v>1.7680000000000002</x:v>
      </x:c>
      <x:c r="D16" t="str">
        <x:f>'Simulacion'!A21</x:f>
        <x:v>Elche CF</x:v>
      </x:c>
      <x:c r="E16" s="102" t="n">
        <x:f>'Simulacion'!G21*100</x:f>
        <x:v>20.192</x:v>
      </x:c>
    </x:row>
  </x:sheetData>
  <x:mergeCells>
    <x:mergeCell ref="A1:N1"/>
    <x:mergeCell ref="A2:N2"/>
    <x:mergeCell ref="A4:B5"/>
    <x:mergeCell ref="A6:B6"/>
    <x:mergeCell ref="C4:D5"/>
    <x:mergeCell ref="C6:D6"/>
    <x:mergeCell ref="E4:F5"/>
    <x:mergeCell ref="E6:F6"/>
    <x:mergeCell ref="G4:H5"/>
    <x:mergeCell ref="G6:H6"/>
    <x:mergeCell ref="I4:J5"/>
    <x:mergeCell ref="I6:J6"/>
    <x:mergeCell ref="K4:L5"/>
    <x:mergeCell ref="K6:L6"/>
    <x:mergeCell ref="A8:L8"/>
  </x:mergeCells>
  <x:pageMargins left="0.7" right="0.7" top="0.75" bottom="0.75" header="0.3" footer="0.3"/>
  <x:drawing xmlns:r="http://schemas.openxmlformats.org/officeDocument/2006/relationships" r:id="R134bae4f0a9e4a8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6" hidden="0" customWidth="1"/>
    <x:col min="3" max="3" width="26" hidden="0" customWidth="1"/>
    <x:col min="4" max="4" width="19" hidden="0" customWidth="1"/>
    <x:col min="5" max="5" width="13" hidden="0" customWidth="1"/>
    <x:col min="6" max="6" width="13" hidden="0" customWidth="1"/>
    <x:col min="7" max="7" width="13" hidden="0" customWidth="1"/>
    <x:col min="8" max="8" width="12" hidden="0" customWidth="1"/>
    <x:col min="9" max="9" width="12" hidden="0" customWidth="1"/>
    <x:col min="12" max="12" width="13" hidden="0" customWidth="1"/>
  </x:cols>
  <x:sheetData>
    <x:row r="1" ht="30" customHeight="1">
      <x:c r="A1" s="22" t="str">
        <x:v>Próxima jornada — probabilidades 1X2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</x:row>
    <x:row r="2" ht="32" customHeight="1">
      <x:c r="A2" s="7" t="str">
        <x:v>Se usa el ensemble con mercado solo cuando existen tres cuotas actuales; de lo contrario permanece el ensemble deportivo.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</x:row>
    <x:row r="5" ht="32" customHeight="1">
      <x:c r="A5" s="24" t="str">
        <x:v>Jornada</x:v>
      </x:c>
      <x:c r="B5" s="25" t="str">
        <x:v>Local</x:v>
      </x:c>
      <x:c r="C5" s="25" t="str">
        <x:v>Visitante</x:v>
      </x:c>
      <x:c r="D5" s="25" t="str">
        <x:v>Modelo</x:v>
      </x:c>
      <x:c r="E5" s="25" t="str">
        <x:v>P(Local)</x:v>
      </x:c>
      <x:c r="F5" s="25" t="str">
        <x:v>P(Empate)</x:v>
      </x:c>
      <x:c r="G5" s="25" t="str">
        <x:v>P(Visitante)</x:v>
      </x:c>
      <x:c r="H5" s="25" t="str">
        <x:v>Pronóstico</x:v>
      </x:c>
      <x:c r="I5" s="25" t="str">
        <x:v>Marcador</x:v>
      </x:c>
      <x:c r="J5" s="25" t="str">
        <x:v>xG local</x:v>
      </x:c>
      <x:c r="K5" s="25" t="str">
        <x:v>xG visitante</x:v>
      </x:c>
      <x:c r="L5" s="26" t="str">
        <x:v>Confianza</x:v>
      </x:c>
    </x:row>
    <x:row r="6">
      <x:c r="A6" s="23" t="n">
        <x:v>1</x:v>
      </x:c>
      <x:c r="B6" s="23" t="str">
        <x:v>Deportivo Alavés</x:v>
      </x:c>
      <x:c r="C6" s="23" t="str">
        <x:v>Getafe CF</x:v>
      </x:c>
      <x:c r="D6" s="23" t="str">
        <x:v>ensemble_sports</x:v>
      </x:c>
      <x:c r="E6" s="103" t="n">
        <x:v>0.4466881683908599</x:v>
      </x:c>
      <x:c r="F6" s="103" t="n">
        <x:v>0.3084738646684239</x:v>
      </x:c>
      <x:c r="G6" s="103" t="n">
        <x:v>0.2448379669407161</x:v>
      </x:c>
      <x:c r="H6" s="23" t="str">
        <x:v>H</x:v>
      </x:c>
      <x:c r="I6" s="23" t="str">
        <x:v>0-0</x:v>
      </x:c>
      <x:c r="J6" s="104" t="n">
        <x:v>0.9990786164516888</x:v>
      </x:c>
      <x:c r="K6" s="104" t="n">
        <x:v>0.7913159643737561</x:v>
      </x:c>
      <x:c r="L6" s="23" t="str">
        <x:v>medium</x:v>
      </x:c>
    </x:row>
    <x:row r="7">
      <x:c r="A7" s="23" t="n">
        <x:v>1</x:v>
      </x:c>
      <x:c r="B7" s="23" t="str">
        <x:v>Atlético de Madrid</x:v>
      </x:c>
      <x:c r="C7" s="23" t="str">
        <x:v>Málaga CF</x:v>
      </x:c>
      <x:c r="D7" s="23" t="str">
        <x:v>ensemble_sports</x:v>
      </x:c>
      <x:c r="E7" s="103" t="n">
        <x:v>0.6338321868829124</x:v>
      </x:c>
      <x:c r="F7" s="103" t="n">
        <x:v>0.2181663188808387</x:v>
      </x:c>
      <x:c r="G7" s="103" t="n">
        <x:v>0.1480014942362489</x:v>
      </x:c>
      <x:c r="H7" s="23" t="str">
        <x:v>H</x:v>
      </x:c>
      <x:c r="I7" s="23" t="str">
        <x:v>2-0</x:v>
      </x:c>
      <x:c r="J7" s="104" t="n">
        <x:v>2.6480570433598976</x:v>
      </x:c>
      <x:c r="K7" s="104" t="n">
        <x:v>0.8499889266114916</x:v>
      </x:c>
      <x:c r="L7" s="23" t="str">
        <x:v>low</x:v>
      </x:c>
    </x:row>
    <x:row r="8">
      <x:c r="A8" s="23" t="n">
        <x:v>1</x:v>
      </x:c>
      <x:c r="B8" s="23" t="str">
        <x:v>RC Celta</x:v>
      </x:c>
      <x:c r="C8" s="23" t="str">
        <x:v>CA Osasuna</x:v>
      </x:c>
      <x:c r="D8" s="23" t="str">
        <x:v>ensemble_sports</x:v>
      </x:c>
      <x:c r="E8" s="103" t="n">
        <x:v>0.4858050626381866</x:v>
      </x:c>
      <x:c r="F8" s="103" t="n">
        <x:v>0.2936842067790828</x:v>
      </x:c>
      <x:c r="G8" s="103" t="n">
        <x:v>0.2205107305827305</x:v>
      </x:c>
      <x:c r="H8" s="23" t="str">
        <x:v>H</x:v>
      </x:c>
      <x:c r="I8" s="23" t="str">
        <x:v>1-1</x:v>
      </x:c>
      <x:c r="J8" s="104" t="n">
        <x:v>1.628287356319991</x:v>
      </x:c>
      <x:c r="K8" s="104" t="n">
        <x:v>1.0347828849543863</x:v>
      </x:c>
      <x:c r="L8" s="23" t="str">
        <x:v>medium</x:v>
      </x:c>
    </x:row>
    <x:row r="9">
      <x:c r="A9" s="23" t="n">
        <x:v>1</x:v>
      </x:c>
      <x:c r="B9" s="23" t="str">
        <x:v>RC Deportivo</x:v>
      </x:c>
      <x:c r="C9" s="23" t="str">
        <x:v>Elche CF</x:v>
      </x:c>
      <x:c r="D9" s="23" t="str">
        <x:v>ensemble_sports</x:v>
      </x:c>
      <x:c r="E9" s="103" t="n">
        <x:v>0.4207285367367921</x:v>
      </x:c>
      <x:c r="F9" s="103" t="n">
        <x:v>0.2885681313058933</x:v>
      </x:c>
      <x:c r="G9" s="103" t="n">
        <x:v>0.2907033319573145</x:v>
      </x:c>
      <x:c r="H9" s="23" t="str">
        <x:v>H</x:v>
      </x:c>
      <x:c r="I9" s="23" t="str">
        <x:v>1-1</x:v>
      </x:c>
      <x:c r="J9" s="104" t="n">
        <x:v>1.5519627578085795</x:v>
      </x:c>
      <x:c r="K9" s="104" t="n">
        <x:v>1.631226446833939</x:v>
      </x:c>
      <x:c r="L9" s="23" t="str">
        <x:v>low</x:v>
      </x:c>
    </x:row>
    <x:row r="10">
      <x:c r="A10" s="23" t="n">
        <x:v>1</x:v>
      </x:c>
      <x:c r="B10" s="23" t="str">
        <x:v>RCD Espanyol de Barcelona</x:v>
      </x:c>
      <x:c r="C10" s="23" t="str">
        <x:v>Levante UD</x:v>
      </x:c>
      <x:c r="D10" s="23" t="str">
        <x:v>ensemble_sports</x:v>
      </x:c>
      <x:c r="E10" s="103" t="n">
        <x:v>0.4319058908432797</x:v>
      </x:c>
      <x:c r="F10" s="103" t="n">
        <x:v>0.3013696036556382</x:v>
      </x:c>
      <x:c r="G10" s="103" t="n">
        <x:v>0.2667245055010822</x:v>
      </x:c>
      <x:c r="H10" s="23" t="str">
        <x:v>H</x:v>
      </x:c>
      <x:c r="I10" s="23" t="str">
        <x:v>1-1</x:v>
      </x:c>
      <x:c r="J10" s="104" t="n">
        <x:v>1.5424496604972615</x:v>
      </x:c>
      <x:c r="K10" s="104" t="n">
        <x:v>1.180708026785829</x:v>
      </x:c>
      <x:c r="L10" s="23" t="str">
        <x:v>medium</x:v>
      </x:c>
    </x:row>
    <x:row r="11">
      <x:c r="A11" s="23" t="n">
        <x:v>1</x:v>
      </x:c>
      <x:c r="B11" s="23" t="str">
        <x:v>FC Barcelona</x:v>
      </x:c>
      <x:c r="C11" s="23" t="str">
        <x:v>Athletic Club</x:v>
      </x:c>
      <x:c r="D11" s="23" t="str">
        <x:v>ensemble_sports</x:v>
      </x:c>
      <x:c r="E11" s="103" t="n">
        <x:v>0.6788343676205356</x:v>
      </x:c>
      <x:c r="F11" s="103" t="n">
        <x:v>0.2072617844359811</x:v>
      </x:c>
      <x:c r="G11" s="103" t="n">
        <x:v>0.1139038479434833</x:v>
      </x:c>
      <x:c r="H11" s="23" t="str">
        <x:v>H</x:v>
      </x:c>
      <x:c r="I11" s="23" t="str">
        <x:v>2-0</x:v>
      </x:c>
      <x:c r="J11" s="104" t="n">
        <x:v>2.478408963320735</x:v>
      </x:c>
      <x:c r="K11" s="104" t="n">
        <x:v>0.8189077531059327</x:v>
      </x:c>
      <x:c r="L11" s="23" t="str">
        <x:v>high</x:v>
      </x:c>
    </x:row>
    <x:row r="12">
      <x:c r="A12" s="23" t="n">
        <x:v>1</x:v>
      </x:c>
      <x:c r="B12" s="23" t="str">
        <x:v>R. Racing Club</x:v>
      </x:c>
      <x:c r="C12" s="23" t="str">
        <x:v>Villarreal CF</x:v>
      </x:c>
      <x:c r="D12" s="23" t="str">
        <x:v>ensemble_sports</x:v>
      </x:c>
      <x:c r="E12" s="103" t="n">
        <x:v>0.285164464926567</x:v>
      </x:c>
      <x:c r="F12" s="103" t="n">
        <x:v>0.2802472623000818</x:v>
      </x:c>
      <x:c r="G12" s="103" t="n">
        <x:v>0.4345882727733512</x:v>
      </x:c>
      <x:c r="H12" s="23" t="str">
        <x:v>A</x:v>
      </x:c>
      <x:c r="I12" s="23" t="str">
        <x:v>1-2</x:v>
      </x:c>
      <x:c r="J12" s="104" t="n">
        <x:v>1.4752739277546296</x:v>
      </x:c>
      <x:c r="K12" s="104" t="n">
        <x:v>2.573612315520647</x:v>
      </x:c>
      <x:c r="L12" s="23" t="str">
        <x:v>low</x:v>
      </x:c>
    </x:row>
    <x:row r="13">
      <x:c r="A13" s="23" t="n">
        <x:v>1</x:v>
      </x:c>
      <x:c r="B13" s="23" t="str">
        <x:v>Real Madrid</x:v>
      </x:c>
      <x:c r="C13" s="23" t="str">
        <x:v>Real Sociedad</x:v>
      </x:c>
      <x:c r="D13" s="23" t="str">
        <x:v>ensemble_sports</x:v>
      </x:c>
      <x:c r="E13" s="103" t="n">
        <x:v>0.674660930656671</x:v>
      </x:c>
      <x:c r="F13" s="103" t="n">
        <x:v>0.2077562652161731</x:v>
      </x:c>
      <x:c r="G13" s="103" t="n">
        <x:v>0.117582804127156</x:v>
      </x:c>
      <x:c r="H13" s="23" t="str">
        <x:v>H</x:v>
      </x:c>
      <x:c r="I13" s="23" t="str">
        <x:v>2-0</x:v>
      </x:c>
      <x:c r="J13" s="104" t="n">
        <x:v>2.4059277664583303</x:v>
      </x:c>
      <x:c r="K13" s="104" t="n">
        <x:v>0.824169623261781</x:v>
      </x:c>
      <x:c r="L13" s="23" t="str">
        <x:v>high</x:v>
      </x:c>
    </x:row>
    <x:row r="14">
      <x:c r="A14" s="23" t="n">
        <x:v>1</x:v>
      </x:c>
      <x:c r="B14" s="23" t="str">
        <x:v>Sevilla FC</x:v>
      </x:c>
      <x:c r="C14" s="23" t="str">
        <x:v>Rayo Vallecano</x:v>
      </x:c>
      <x:c r="D14" s="23" t="str">
        <x:v>ensemble_sports</x:v>
      </x:c>
      <x:c r="E14" s="103" t="n">
        <x:v>0.4043557509269628</x:v>
      </x:c>
      <x:c r="F14" s="103" t="n">
        <x:v>0.3144749811934675</x:v>
      </x:c>
      <x:c r="G14" s="103" t="n">
        <x:v>0.2811692678795697</x:v>
      </x:c>
      <x:c r="H14" s="23" t="str">
        <x:v>H</x:v>
      </x:c>
      <x:c r="I14" s="23" t="str">
        <x:v>1-0</x:v>
      </x:c>
      <x:c r="J14" s="104" t="n">
        <x:v>1.2356830516975954</x:v>
      </x:c>
      <x:c r="K14" s="104" t="n">
        <x:v>0.9814451739304608</x:v>
      </x:c>
      <x:c r="L14" s="23" t="str">
        <x:v>medium</x:v>
      </x:c>
    </x:row>
    <x:row r="15">
      <x:c r="A15" s="23" t="n">
        <x:v>1</x:v>
      </x:c>
      <x:c r="B15" s="23" t="str">
        <x:v>Valencia CF</x:v>
      </x:c>
      <x:c r="C15" s="23" t="str">
        <x:v>Real Betis</x:v>
      </x:c>
      <x:c r="D15" s="23" t="str">
        <x:v>ensemble_sports</x:v>
      </x:c>
      <x:c r="E15" s="103" t="n">
        <x:v>0.3819921045556095</x:v>
      </x:c>
      <x:c r="F15" s="103" t="n">
        <x:v>0.3014681843843811</x:v>
      </x:c>
      <x:c r="G15" s="103" t="n">
        <x:v>0.3165397110600094</x:v>
      </x:c>
      <x:c r="H15" s="23" t="str">
        <x:v>H</x:v>
      </x:c>
      <x:c r="I15" s="23" t="str">
        <x:v>1-1</x:v>
      </x:c>
      <x:c r="J15" s="104" t="n">
        <x:v>1.3216317467123997</x:v>
      </x:c>
      <x:c r="K15" s="104" t="n">
        <x:v>1.3015813043734925</x:v>
      </x:c>
      <x:c r="L15" s="23" t="str">
        <x:v>low</x:v>
      </x:c>
    </x:row>
  </x:sheetData>
  <x:mergeCells>
    <x:mergeCell ref="A1:L1"/>
    <x:mergeCell ref="A2:L2"/>
  </x:mergeCells>
  <x:conditionalFormatting sqref="E6:G15">
    <x:cfRule type="dataBar" priority="1">
      <x:dataBar>
        <x:cfvo type="min"/>
        <x:cfvo type="max"/>
        <x:color rgb="FF0F766E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bdb1af9cbd749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8" hidden="0" customWidth="1"/>
    <x:col min="1" max="1" width="8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</x:cols>
  <x:sheetData>
    <x:row r="1" ht="30" customHeight="1">
      <x:c r="A1" s="22" t="str">
        <x:v>Clasificación real de LaLiga 2026/27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</x:row>
    <x:row r="2" ht="32" customHeight="1">
      <x:c r="A2" s="7" t="str">
        <x:v>Antes del inicio, posición y PPG permanecen vacíos. Después de cada jornada se calculan solo con resultados confirmados.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</x:row>
    <x:row r="5" ht="32" customHeight="1">
      <x:c r="A5" s="24" t="str">
        <x:v>Pos.</x:v>
      </x:c>
      <x:c r="B5" s="25" t="str">
        <x:v>Equipo</x:v>
      </x:c>
      <x:c r="C5" s="25" t="str">
        <x:v>PJ</x:v>
      </x:c>
      <x:c r="D5" s="25" t="str">
        <x:v>G</x:v>
      </x:c>
      <x:c r="E5" s="25" t="str">
        <x:v>E</x:v>
      </x:c>
      <x:c r="F5" s="25" t="str">
        <x:v>P</x:v>
      </x:c>
      <x:c r="G5" s="25" t="str">
        <x:v>GF</x:v>
      </x:c>
      <x:c r="H5" s="25" t="str">
        <x:v>GC</x:v>
      </x:c>
      <x:c r="I5" s="25" t="str">
        <x:v>DG</x:v>
      </x:c>
      <x:c r="J5" s="25" t="str">
        <x:v>Pts.</x:v>
      </x:c>
      <x:c r="K5" s="26" t="str">
        <x:v>PPG</x:v>
      </x:c>
    </x:row>
    <x:row r="6">
      <x:c r="A6" s="23" t="str"/>
      <x:c r="B6" s="23" t="str">
        <x:v>Athletic Club</x:v>
      </x:c>
      <x:c r="C6" s="23" t="n">
        <x:v>0</x:v>
      </x:c>
      <x:c r="D6" s="23" t="n">
        <x:v>0</x:v>
      </x:c>
      <x:c r="E6" s="23" t="n">
        <x:v>0</x:v>
      </x:c>
      <x:c r="F6" s="23" t="n">
        <x:v>0</x:v>
      </x:c>
      <x:c r="G6" s="23" t="n">
        <x:v>0</x:v>
      </x:c>
      <x:c r="H6" s="23" t="n">
        <x:v>0</x:v>
      </x:c>
      <x:c r="I6" s="23" t="n">
        <x:v>0</x:v>
      </x:c>
      <x:c r="J6" s="23" t="n">
        <x:v>0</x:v>
      </x:c>
      <x:c r="K6" s="104" t="str"/>
    </x:row>
    <x:row r="7">
      <x:c r="A7" s="23" t="str"/>
      <x:c r="B7" s="23" t="str">
        <x:v>Atlético de Madrid</x:v>
      </x:c>
      <x:c r="C7" s="23" t="n">
        <x:v>0</x:v>
      </x:c>
      <x:c r="D7" s="23" t="n">
        <x:v>0</x:v>
      </x:c>
      <x:c r="E7" s="23" t="n">
        <x:v>0</x:v>
      </x:c>
      <x:c r="F7" s="23" t="n">
        <x:v>0</x:v>
      </x:c>
      <x:c r="G7" s="23" t="n">
        <x:v>0</x:v>
      </x:c>
      <x:c r="H7" s="23" t="n">
        <x:v>0</x:v>
      </x:c>
      <x:c r="I7" s="23" t="n">
        <x:v>0</x:v>
      </x:c>
      <x:c r="J7" s="23" t="n">
        <x:v>0</x:v>
      </x:c>
      <x:c r="K7" s="104" t="str"/>
    </x:row>
    <x:row r="8">
      <x:c r="A8" s="23" t="str"/>
      <x:c r="B8" s="23" t="str">
        <x:v>CA Osasuna</x:v>
      </x:c>
      <x:c r="C8" s="23" t="n">
        <x:v>0</x:v>
      </x:c>
      <x:c r="D8" s="23" t="n">
        <x:v>0</x:v>
      </x:c>
      <x:c r="E8" s="23" t="n">
        <x:v>0</x:v>
      </x:c>
      <x:c r="F8" s="23" t="n">
        <x:v>0</x:v>
      </x:c>
      <x:c r="G8" s="23" t="n">
        <x:v>0</x:v>
      </x:c>
      <x:c r="H8" s="23" t="n">
        <x:v>0</x:v>
      </x:c>
      <x:c r="I8" s="23" t="n">
        <x:v>0</x:v>
      </x:c>
      <x:c r="J8" s="23" t="n">
        <x:v>0</x:v>
      </x:c>
      <x:c r="K8" s="104" t="str"/>
    </x:row>
    <x:row r="9">
      <x:c r="A9" s="23" t="str"/>
      <x:c r="B9" s="23" t="str">
        <x:v>Deportivo Alavés</x:v>
      </x:c>
      <x:c r="C9" s="23" t="n">
        <x:v>0</x:v>
      </x:c>
      <x:c r="D9" s="23" t="n">
        <x:v>0</x:v>
      </x:c>
      <x:c r="E9" s="23" t="n">
        <x:v>0</x:v>
      </x:c>
      <x:c r="F9" s="23" t="n">
        <x:v>0</x:v>
      </x:c>
      <x:c r="G9" s="23" t="n">
        <x:v>0</x:v>
      </x:c>
      <x:c r="H9" s="23" t="n">
        <x:v>0</x:v>
      </x:c>
      <x:c r="I9" s="23" t="n">
        <x:v>0</x:v>
      </x:c>
      <x:c r="J9" s="23" t="n">
        <x:v>0</x:v>
      </x:c>
      <x:c r="K9" s="104" t="str"/>
    </x:row>
    <x:row r="10">
      <x:c r="A10" s="23" t="str"/>
      <x:c r="B10" s="23" t="str">
        <x:v>Elche CF</x:v>
      </x:c>
      <x:c r="C10" s="23" t="n">
        <x:v>0</x:v>
      </x:c>
      <x:c r="D10" s="23" t="n">
        <x:v>0</x:v>
      </x:c>
      <x:c r="E10" s="23" t="n">
        <x:v>0</x:v>
      </x:c>
      <x:c r="F10" s="23" t="n">
        <x:v>0</x:v>
      </x:c>
      <x:c r="G10" s="23" t="n">
        <x:v>0</x:v>
      </x:c>
      <x:c r="H10" s="23" t="n">
        <x:v>0</x:v>
      </x:c>
      <x:c r="I10" s="23" t="n">
        <x:v>0</x:v>
      </x:c>
      <x:c r="J10" s="23" t="n">
        <x:v>0</x:v>
      </x:c>
      <x:c r="K10" s="104" t="str"/>
    </x:row>
    <x:row r="11">
      <x:c r="A11" s="23" t="str"/>
      <x:c r="B11" s="23" t="str">
        <x:v>FC Barcelona</x:v>
      </x:c>
      <x:c r="C11" s="23" t="n">
        <x:v>0</x:v>
      </x:c>
      <x:c r="D11" s="23" t="n">
        <x:v>0</x:v>
      </x:c>
      <x:c r="E11" s="23" t="n">
        <x:v>0</x:v>
      </x:c>
      <x:c r="F11" s="23" t="n">
        <x:v>0</x:v>
      </x:c>
      <x:c r="G11" s="23" t="n">
        <x:v>0</x:v>
      </x:c>
      <x:c r="H11" s="23" t="n">
        <x:v>0</x:v>
      </x:c>
      <x:c r="I11" s="23" t="n">
        <x:v>0</x:v>
      </x:c>
      <x:c r="J11" s="23" t="n">
        <x:v>0</x:v>
      </x:c>
      <x:c r="K11" s="104" t="str"/>
    </x:row>
    <x:row r="12">
      <x:c r="A12" s="23" t="str"/>
      <x:c r="B12" s="23" t="str">
        <x:v>Getafe CF</x:v>
      </x:c>
      <x:c r="C12" s="23" t="n">
        <x:v>0</x:v>
      </x:c>
      <x:c r="D12" s="23" t="n">
        <x:v>0</x:v>
      </x:c>
      <x:c r="E12" s="23" t="n">
        <x:v>0</x:v>
      </x:c>
      <x:c r="F12" s="23" t="n">
        <x:v>0</x:v>
      </x:c>
      <x:c r="G12" s="23" t="n">
        <x:v>0</x:v>
      </x:c>
      <x:c r="H12" s="23" t="n">
        <x:v>0</x:v>
      </x:c>
      <x:c r="I12" s="23" t="n">
        <x:v>0</x:v>
      </x:c>
      <x:c r="J12" s="23" t="n">
        <x:v>0</x:v>
      </x:c>
      <x:c r="K12" s="104" t="str"/>
    </x:row>
    <x:row r="13">
      <x:c r="A13" s="23" t="str"/>
      <x:c r="B13" s="23" t="str">
        <x:v>Levante UD</x:v>
      </x:c>
      <x:c r="C13" s="23" t="n">
        <x:v>0</x:v>
      </x:c>
      <x:c r="D13" s="23" t="n">
        <x:v>0</x:v>
      </x:c>
      <x:c r="E13" s="23" t="n">
        <x:v>0</x:v>
      </x:c>
      <x:c r="F13" s="23" t="n">
        <x:v>0</x:v>
      </x:c>
      <x:c r="G13" s="23" t="n">
        <x:v>0</x:v>
      </x:c>
      <x:c r="H13" s="23" t="n">
        <x:v>0</x:v>
      </x:c>
      <x:c r="I13" s="23" t="n">
        <x:v>0</x:v>
      </x:c>
      <x:c r="J13" s="23" t="n">
        <x:v>0</x:v>
      </x:c>
      <x:c r="K13" s="104" t="str"/>
    </x:row>
    <x:row r="14">
      <x:c r="A14" s="23" t="str"/>
      <x:c r="B14" s="23" t="str">
        <x:v>Málaga CF</x:v>
      </x:c>
      <x:c r="C14" s="23" t="n">
        <x:v>0</x:v>
      </x:c>
      <x:c r="D14" s="23" t="n">
        <x:v>0</x:v>
      </x:c>
      <x:c r="E14" s="23" t="n">
        <x:v>0</x:v>
      </x:c>
      <x:c r="F14" s="23" t="n">
        <x:v>0</x:v>
      </x:c>
      <x:c r="G14" s="23" t="n">
        <x:v>0</x:v>
      </x:c>
      <x:c r="H14" s="23" t="n">
        <x:v>0</x:v>
      </x:c>
      <x:c r="I14" s="23" t="n">
        <x:v>0</x:v>
      </x:c>
      <x:c r="J14" s="23" t="n">
        <x:v>0</x:v>
      </x:c>
      <x:c r="K14" s="104" t="str"/>
    </x:row>
    <x:row r="15">
      <x:c r="A15" s="23" t="str"/>
      <x:c r="B15" s="23" t="str">
        <x:v>RC Celta</x:v>
      </x:c>
      <x:c r="C15" s="23" t="n">
        <x:v>0</x:v>
      </x:c>
      <x:c r="D15" s="23" t="n">
        <x:v>0</x:v>
      </x:c>
      <x:c r="E15" s="23" t="n">
        <x:v>0</x:v>
      </x:c>
      <x:c r="F15" s="23" t="n">
        <x:v>0</x:v>
      </x:c>
      <x:c r="G15" s="23" t="n">
        <x:v>0</x:v>
      </x:c>
      <x:c r="H15" s="23" t="n">
        <x:v>0</x:v>
      </x:c>
      <x:c r="I15" s="23" t="n">
        <x:v>0</x:v>
      </x:c>
      <x:c r="J15" s="23" t="n">
        <x:v>0</x:v>
      </x:c>
      <x:c r="K15" s="104" t="str"/>
    </x:row>
    <x:row r="16">
      <x:c r="A16" s="23" t="str"/>
      <x:c r="B16" s="23" t="str">
        <x:v>RC Deportivo</x:v>
      </x:c>
      <x:c r="C16" s="23" t="n">
        <x:v>0</x:v>
      </x:c>
      <x:c r="D16" s="23" t="n">
        <x:v>0</x:v>
      </x:c>
      <x:c r="E16" s="23" t="n">
        <x:v>0</x:v>
      </x:c>
      <x:c r="F16" s="23" t="n">
        <x:v>0</x:v>
      </x:c>
      <x:c r="G16" s="23" t="n">
        <x:v>0</x:v>
      </x:c>
      <x:c r="H16" s="23" t="n">
        <x:v>0</x:v>
      </x:c>
      <x:c r="I16" s="23" t="n">
        <x:v>0</x:v>
      </x:c>
      <x:c r="J16" s="23" t="n">
        <x:v>0</x:v>
      </x:c>
      <x:c r="K16" s="104" t="str"/>
    </x:row>
    <x:row r="17">
      <x:c r="A17" s="23" t="str"/>
      <x:c r="B17" s="23" t="str">
        <x:v>RCD Espanyol</x:v>
      </x:c>
      <x:c r="C17" s="23" t="n">
        <x:v>0</x:v>
      </x:c>
      <x:c r="D17" s="23" t="n">
        <x:v>0</x:v>
      </x:c>
      <x:c r="E17" s="23" t="n">
        <x:v>0</x:v>
      </x:c>
      <x:c r="F17" s="23" t="n">
        <x:v>0</x:v>
      </x:c>
      <x:c r="G17" s="23" t="n">
        <x:v>0</x:v>
      </x:c>
      <x:c r="H17" s="23" t="n">
        <x:v>0</x:v>
      </x:c>
      <x:c r="I17" s="23" t="n">
        <x:v>0</x:v>
      </x:c>
      <x:c r="J17" s="23" t="n">
        <x:v>0</x:v>
      </x:c>
      <x:c r="K17" s="104" t="str"/>
    </x:row>
    <x:row r="18">
      <x:c r="A18" s="23" t="str"/>
      <x:c r="B18" s="23" t="str">
        <x:v>Racing de Santander</x:v>
      </x:c>
      <x:c r="C18" s="23" t="n">
        <x:v>0</x:v>
      </x:c>
      <x:c r="D18" s="23" t="n">
        <x:v>0</x:v>
      </x:c>
      <x:c r="E18" s="23" t="n">
        <x:v>0</x:v>
      </x:c>
      <x:c r="F18" s="23" t="n">
        <x:v>0</x:v>
      </x:c>
      <x:c r="G18" s="23" t="n">
        <x:v>0</x:v>
      </x:c>
      <x:c r="H18" s="23" t="n">
        <x:v>0</x:v>
      </x:c>
      <x:c r="I18" s="23" t="n">
        <x:v>0</x:v>
      </x:c>
      <x:c r="J18" s="23" t="n">
        <x:v>0</x:v>
      </x:c>
      <x:c r="K18" s="104" t="str"/>
    </x:row>
    <x:row r="19">
      <x:c r="A19" s="23" t="str"/>
      <x:c r="B19" s="23" t="str">
        <x:v>Rayo Vallecano</x:v>
      </x:c>
      <x:c r="C19" s="23" t="n">
        <x:v>0</x:v>
      </x:c>
      <x:c r="D19" s="23" t="n">
        <x:v>0</x:v>
      </x:c>
      <x:c r="E19" s="23" t="n">
        <x:v>0</x:v>
      </x:c>
      <x:c r="F19" s="23" t="n">
        <x:v>0</x:v>
      </x:c>
      <x:c r="G19" s="23" t="n">
        <x:v>0</x:v>
      </x:c>
      <x:c r="H19" s="23" t="n">
        <x:v>0</x:v>
      </x:c>
      <x:c r="I19" s="23" t="n">
        <x:v>0</x:v>
      </x:c>
      <x:c r="J19" s="23" t="n">
        <x:v>0</x:v>
      </x:c>
      <x:c r="K19" s="104" t="str"/>
    </x:row>
    <x:row r="20">
      <x:c r="A20" s="23" t="str"/>
      <x:c r="B20" s="23" t="str">
        <x:v>Real Betis</x:v>
      </x:c>
      <x:c r="C20" s="23" t="n">
        <x:v>0</x:v>
      </x:c>
      <x:c r="D20" s="23" t="n">
        <x:v>0</x:v>
      </x:c>
      <x:c r="E20" s="23" t="n">
        <x:v>0</x:v>
      </x:c>
      <x:c r="F20" s="23" t="n">
        <x:v>0</x:v>
      </x:c>
      <x:c r="G20" s="23" t="n">
        <x:v>0</x:v>
      </x:c>
      <x:c r="H20" s="23" t="n">
        <x:v>0</x:v>
      </x:c>
      <x:c r="I20" s="23" t="n">
        <x:v>0</x:v>
      </x:c>
      <x:c r="J20" s="23" t="n">
        <x:v>0</x:v>
      </x:c>
      <x:c r="K20" s="104" t="str"/>
    </x:row>
    <x:row r="21">
      <x:c r="A21" s="23" t="str"/>
      <x:c r="B21" s="23" t="str">
        <x:v>Real Madrid</x:v>
      </x:c>
      <x:c r="C21" s="23" t="n">
        <x:v>0</x:v>
      </x:c>
      <x:c r="D21" s="23" t="n">
        <x:v>0</x:v>
      </x:c>
      <x:c r="E21" s="23" t="n">
        <x:v>0</x:v>
      </x:c>
      <x:c r="F21" s="23" t="n">
        <x:v>0</x:v>
      </x:c>
      <x:c r="G21" s="23" t="n">
        <x:v>0</x:v>
      </x:c>
      <x:c r="H21" s="23" t="n">
        <x:v>0</x:v>
      </x:c>
      <x:c r="I21" s="23" t="n">
        <x:v>0</x:v>
      </x:c>
      <x:c r="J21" s="23" t="n">
        <x:v>0</x:v>
      </x:c>
      <x:c r="K21" s="104" t="str"/>
    </x:row>
    <x:row r="22">
      <x:c r="A22" s="23" t="str"/>
      <x:c r="B22" s="23" t="str">
        <x:v>Real Sociedad</x:v>
      </x:c>
      <x:c r="C22" s="23" t="n">
        <x:v>0</x:v>
      </x:c>
      <x:c r="D22" s="23" t="n">
        <x:v>0</x:v>
      </x:c>
      <x:c r="E22" s="23" t="n">
        <x:v>0</x:v>
      </x:c>
      <x:c r="F22" s="23" t="n">
        <x:v>0</x:v>
      </x:c>
      <x:c r="G22" s="23" t="n">
        <x:v>0</x:v>
      </x:c>
      <x:c r="H22" s="23" t="n">
        <x:v>0</x:v>
      </x:c>
      <x:c r="I22" s="23" t="n">
        <x:v>0</x:v>
      </x:c>
      <x:c r="J22" s="23" t="n">
        <x:v>0</x:v>
      </x:c>
      <x:c r="K22" s="104" t="str"/>
    </x:row>
    <x:row r="23">
      <x:c r="A23" s="23" t="str"/>
      <x:c r="B23" s="23" t="str">
        <x:v>Sevilla FC</x:v>
      </x:c>
      <x:c r="C23" s="23" t="n">
        <x:v>0</x:v>
      </x:c>
      <x:c r="D23" s="23" t="n">
        <x:v>0</x:v>
      </x:c>
      <x:c r="E23" s="23" t="n">
        <x:v>0</x:v>
      </x:c>
      <x:c r="F23" s="23" t="n">
        <x:v>0</x:v>
      </x:c>
      <x:c r="G23" s="23" t="n">
        <x:v>0</x:v>
      </x:c>
      <x:c r="H23" s="23" t="n">
        <x:v>0</x:v>
      </x:c>
      <x:c r="I23" s="23" t="n">
        <x:v>0</x:v>
      </x:c>
      <x:c r="J23" s="23" t="n">
        <x:v>0</x:v>
      </x:c>
      <x:c r="K23" s="104" t="str"/>
    </x:row>
    <x:row r="24">
      <x:c r="A24" s="23" t="str"/>
      <x:c r="B24" s="23" t="str">
        <x:v>Valencia CF</x:v>
      </x:c>
      <x:c r="C24" s="23" t="n">
        <x:v>0</x:v>
      </x:c>
      <x:c r="D24" s="23" t="n">
        <x:v>0</x:v>
      </x:c>
      <x:c r="E24" s="23" t="n">
        <x:v>0</x:v>
      </x:c>
      <x:c r="F24" s="23" t="n">
        <x:v>0</x:v>
      </x:c>
      <x:c r="G24" s="23" t="n">
        <x:v>0</x:v>
      </x:c>
      <x:c r="H24" s="23" t="n">
        <x:v>0</x:v>
      </x:c>
      <x:c r="I24" s="23" t="n">
        <x:v>0</x:v>
      </x:c>
      <x:c r="J24" s="23" t="n">
        <x:v>0</x:v>
      </x:c>
      <x:c r="K24" s="104" t="str"/>
    </x:row>
    <x:row r="25">
      <x:c r="A25" s="23" t="str"/>
      <x:c r="B25" s="23" t="str">
        <x:v>Villarreal CF</x:v>
      </x:c>
      <x:c r="C25" s="23" t="n">
        <x:v>0</x:v>
      </x:c>
      <x:c r="D25" s="23" t="n">
        <x:v>0</x:v>
      </x:c>
      <x:c r="E25" s="23" t="n">
        <x:v>0</x:v>
      </x:c>
      <x:c r="F25" s="23" t="n">
        <x:v>0</x:v>
      </x:c>
      <x:c r="G25" s="23" t="n">
        <x:v>0</x:v>
      </x:c>
      <x:c r="H25" s="23" t="n">
        <x:v>0</x:v>
      </x:c>
      <x:c r="I25" s="23" t="n">
        <x:v>0</x:v>
      </x:c>
      <x:c r="J25" s="23" t="n">
        <x:v>0</x:v>
      </x:c>
      <x:c r="K25" s="104" t="str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4b50df0280964a8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</x:cols>
  <x:sheetData>
    <x:row r="1" ht="30" customHeight="1">
      <x:c r="A1" s="22" t="str">
        <x:v>Simulación dinámica de la temporada</x:v>
      </x:c>
      <x:c r="B1" s="22"/>
      <x:c r="C1" s="22"/>
      <x:c r="D1" s="22"/>
      <x:c r="E1" s="22"/>
      <x:c r="F1" s="22"/>
      <x:c r="G1" s="22"/>
      <x:c r="H1" s="22"/>
      <x:c r="I1" s="22"/>
    </x:row>
    <x:row r="2" ht="32" customHeight="1">
      <x:c r="A2" s="7" t="str">
        <x:v>50,000 temporadas: resultados jugados fijados y partidos pendientes sorteados con las probabilidades vigentes.</x:v>
      </x:c>
      <x:c r="B2" s="7"/>
      <x:c r="C2" s="7"/>
      <x:c r="D2" s="7"/>
      <x:c r="E2" s="7"/>
      <x:c r="F2" s="7"/>
      <x:c r="G2" s="7"/>
      <x:c r="H2" s="7"/>
      <x:c r="I2" s="7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</x:row>
    <x:row r="5" ht="32" customHeight="1">
      <x:c r="A5" s="24" t="str">
        <x:v>Equipo</x:v>
      </x:c>
      <x:c r="B5" s="25" t="str">
        <x:v>Puntos esperados</x:v>
      </x:c>
      <x:c r="C5" s="25" t="str">
        <x:v>Posición esperada</x:v>
      </x:c>
      <x:c r="D5" s="25" t="str">
        <x:v>Campeón</x:v>
      </x:c>
      <x:c r="E5" s="25" t="str">
        <x:v>Top 4</x:v>
      </x:c>
      <x:c r="F5" s="25" t="str">
        <x:v>Top 7</x:v>
      </x:c>
      <x:c r="G5" s="25" t="str">
        <x:v>Descenso</x:v>
      </x:c>
      <x:c r="H5" s="25" t="str">
        <x:v>Puntos P05</x:v>
      </x:c>
      <x:c r="I5" s="26" t="str">
        <x:v>Puntos P95</x:v>
      </x:c>
    </x:row>
    <x:row r="6">
      <x:c r="A6" s="23" t="str">
        <x:v>FC Barcelona</x:v>
      </x:c>
      <x:c r="B6" s="105" t="n">
        <x:v>74.66914</x:v>
      </x:c>
      <x:c r="C6" s="105" t="n">
        <x:v>1.80624</x:v>
      </x:c>
      <x:c r="D6" s="103" t="n">
        <x:v>0.53748</x:v>
      </x:c>
      <x:c r="E6" s="103" t="n">
        <x:v>0.96314</x:v>
      </x:c>
      <x:c r="F6" s="103" t="n">
        <x:v>0.99478</x:v>
      </x:c>
      <x:c r="G6" s="103" t="n">
        <x:v>0</x:v>
      </x:c>
      <x:c r="H6" s="105" t="n">
        <x:v>62</x:v>
      </x:c>
      <x:c r="I6" s="105" t="n">
        <x:v>87</x:v>
      </x:c>
    </x:row>
    <x:row r="7">
      <x:c r="A7" s="23" t="str">
        <x:v>Real Madrid</x:v>
      </x:c>
      <x:c r="B7" s="105" t="n">
        <x:v>71.61856</x:v>
      </x:c>
      <x:c r="C7" s="105" t="n">
        <x:v>2.33412</x:v>
      </x:c>
      <x:c r="D7" s="103" t="n">
        <x:v>0.33054</x:v>
      </x:c>
      <x:c r="E7" s="103" t="n">
        <x:v>0.91814</x:v>
      </x:c>
      <x:c r="F7" s="103" t="n">
        <x:v>0.98402</x:v>
      </x:c>
      <x:c r="G7" s="103" t="n">
        <x:v>0.00006</x:v>
      </x:c>
      <x:c r="H7" s="105" t="n">
        <x:v>59</x:v>
      </x:c>
      <x:c r="I7" s="105" t="n">
        <x:v>84</x:v>
      </x:c>
    </x:row>
    <x:row r="8">
      <x:c r="A8" s="23" t="str">
        <x:v>Villarreal CF</x:v>
      </x:c>
      <x:c r="B8" s="105" t="n">
        <x:v>62.8004</x:v>
      </x:c>
      <x:c r="C8" s="105" t="n">
        <x:v>4.70112</x:v>
      </x:c>
      <x:c r="D8" s="103" t="n">
        <x:v>0.05948</x:v>
      </x:c>
      <x:c r="E8" s="103" t="n">
        <x:v>0.5956</x:v>
      </x:c>
      <x:c r="F8" s="103" t="n">
        <x:v>0.85564</x:v>
      </x:c>
      <x:c r="G8" s="103" t="n">
        <x:v>0.0024</x:v>
      </x:c>
      <x:c r="H8" s="105" t="n">
        <x:v>50</x:v>
      </x:c>
      <x:c r="I8" s="105" t="n">
        <x:v>75</x:v>
      </x:c>
    </x:row>
    <x:row r="9">
      <x:c r="A9" s="23" t="str">
        <x:v>Atlético de Madrid</x:v>
      </x:c>
      <x:c r="B9" s="105" t="n">
        <x:v>61.38876</x:v>
      </x:c>
      <x:c r="C9" s="105" t="n">
        <x:v>5.21264</x:v>
      </x:c>
      <x:c r="D9" s="103" t="n">
        <x:v>0.04216</x:v>
      </x:c>
      <x:c r="E9" s="103" t="n">
        <x:v>0.5199</x:v>
      </x:c>
      <x:c r="F9" s="103" t="n">
        <x:v>0.81166</x:v>
      </x:c>
      <x:c r="G9" s="103" t="n">
        <x:v>0.00396</x:v>
      </x:c>
      <x:c r="H9" s="105" t="n">
        <x:v>49</x:v>
      </x:c>
      <x:c r="I9" s="105" t="n">
        <x:v>74</x:v>
      </x:c>
    </x:row>
    <x:row r="10">
      <x:c r="A10" s="23" t="str">
        <x:v>Real Betis</x:v>
      </x:c>
      <x:c r="B10" s="105" t="n">
        <x:v>57.87236</x:v>
      </x:c>
      <x:c r="C10" s="105" t="n">
        <x:v>6.73396</x:v>
      </x:c>
      <x:c r="D10" s="103" t="n">
        <x:v>0.01768</x:v>
      </x:c>
      <x:c r="E10" s="103" t="n">
        <x:v>0.3332</x:v>
      </x:c>
      <x:c r="F10" s="103" t="n">
        <x:v>0.66398</x:v>
      </x:c>
      <x:c r="G10" s="103" t="n">
        <x:v>0.01312</x:v>
      </x:c>
      <x:c r="H10" s="105" t="n">
        <x:v>45</x:v>
      </x:c>
      <x:c r="I10" s="105" t="n">
        <x:v>71</x:v>
      </x:c>
    </x:row>
    <x:row r="11">
      <x:c r="A11" s="23" t="str">
        <x:v>RC Celta</x:v>
      </x:c>
      <x:c r="B11" s="105" t="n">
        <x:v>51.89406</x:v>
      </x:c>
      <x:c r="C11" s="105" t="n">
        <x:v>9.86288</x:v>
      </x:c>
      <x:c r="D11" s="103" t="n">
        <x:v>0.00302</x:v>
      </x:c>
      <x:c r="E11" s="103" t="n">
        <x:v>0.11326</x:v>
      </x:c>
      <x:c r="F11" s="103" t="n">
        <x:v>0.35624</x:v>
      </x:c>
      <x:c r="G11" s="103" t="n">
        <x:v>0.06458</x:v>
      </x:c>
      <x:c r="H11" s="105" t="n">
        <x:v>39</x:v>
      </x:c>
      <x:c r="I11" s="105" t="n">
        <x:v>65</x:v>
      </x:c>
    </x:row>
    <x:row r="12">
      <x:c r="A12" s="23" t="str">
        <x:v>Rayo Vallecano</x:v>
      </x:c>
      <x:c r="B12" s="105" t="n">
        <x:v>50.71326</x:v>
      </x:c>
      <x:c r="C12" s="105" t="n">
        <x:v>10.54408</x:v>
      </x:c>
      <x:c r="D12" s="103" t="n">
        <x:v>0.0017</x:v>
      </x:c>
      <x:c r="E12" s="103" t="n">
        <x:v>0.0831</x:v>
      </x:c>
      <x:c r="F12" s="103" t="n">
        <x:v>0.29878</x:v>
      </x:c>
      <x:c r="G12" s="103" t="n">
        <x:v>0.08406</x:v>
      </x:c>
      <x:c r="H12" s="105" t="n">
        <x:v>38</x:v>
      </x:c>
      <x:c r="I12" s="105" t="n">
        <x:v>63</x:v>
      </x:c>
    </x:row>
    <x:row r="13">
      <x:c r="A13" s="23" t="str">
        <x:v>Athletic Club</x:v>
      </x:c>
      <x:c r="B13" s="105" t="n">
        <x:v>50.58172</x:v>
      </x:c>
      <x:c r="C13" s="105" t="n">
        <x:v>10.62608</x:v>
      </x:c>
      <x:c r="D13" s="103" t="n">
        <x:v>0.002</x:v>
      </x:c>
      <x:c r="E13" s="103" t="n">
        <x:v>0.08272</x:v>
      </x:c>
      <x:c r="F13" s="103" t="n">
        <x:v>0.29336</x:v>
      </x:c>
      <x:c r="G13" s="103" t="n">
        <x:v>0.08606</x:v>
      </x:c>
      <x:c r="H13" s="105" t="n">
        <x:v>38</x:v>
      </x:c>
      <x:c r="I13" s="105" t="n">
        <x:v>63</x:v>
      </x:c>
    </x:row>
    <x:row r="14">
      <x:c r="A14" s="23" t="str">
        <x:v>Valencia CF</x:v>
      </x:c>
      <x:c r="B14" s="105" t="n">
        <x:v>49.68972</x:v>
      </x:c>
      <x:c r="C14" s="105" t="n">
        <x:v>11.15432</x:v>
      </x:c>
      <x:c r="D14" s="103" t="n">
        <x:v>0.00116</x:v>
      </x:c>
      <x:c r="E14" s="103" t="n">
        <x:v>0.0683</x:v>
      </x:c>
      <x:c r="F14" s="103" t="n">
        <x:v>0.25338</x:v>
      </x:c>
      <x:c r="G14" s="103" t="n">
        <x:v>0.10526</x:v>
      </x:c>
      <x:c r="H14" s="105" t="n">
        <x:v>38</x:v>
      </x:c>
      <x:c r="I14" s="105" t="n">
        <x:v>62</x:v>
      </x:c>
    </x:row>
    <x:row r="15">
      <x:c r="A15" s="23" t="str">
        <x:v>Real Sociedad</x:v>
      </x:c>
      <x:c r="B15" s="105" t="n">
        <x:v>49.37406</x:v>
      </x:c>
      <x:c r="C15" s="105" t="n">
        <x:v>11.33498</x:v>
      </x:c>
      <x:c r="D15" s="103" t="n">
        <x:v>0.00114</x:v>
      </x:c>
      <x:c r="E15" s="103" t="n">
        <x:v>0.06322</x:v>
      </x:c>
      <x:c r="F15" s="103" t="n">
        <x:v>0.24218</x:v>
      </x:c>
      <x:c r="G15" s="103" t="n">
        <x:v>0.11554</x:v>
      </x:c>
      <x:c r="H15" s="105" t="n">
        <x:v>37</x:v>
      </x:c>
      <x:c r="I15" s="105" t="n">
        <x:v>62</x:v>
      </x:c>
    </x:row>
    <x:row r="16">
      <x:c r="A16" s="23" t="str">
        <x:v>Levante UD</x:v>
      </x:c>
      <x:c r="B16" s="105" t="n">
        <x:v>48.00702</x:v>
      </x:c>
      <x:c r="C16" s="105" t="n">
        <x:v>12.15418</x:v>
      </x:c>
      <x:c r="D16" s="103" t="n">
        <x:v>0.00076</x:v>
      </x:c>
      <x:c r="E16" s="103" t="n">
        <x:v>0.04374</x:v>
      </x:c>
      <x:c r="F16" s="103" t="n">
        <x:v>0.18968</x:v>
      </x:c>
      <x:c r="G16" s="103" t="n">
        <x:v>0.14932</x:v>
      </x:c>
      <x:c r="H16" s="105" t="n">
        <x:v>36</x:v>
      </x:c>
      <x:c r="I16" s="105" t="n">
        <x:v>60</x:v>
      </x:c>
    </x:row>
    <x:row r="17">
      <x:c r="A17" s="23" t="str">
        <x:v>CA Osasuna</x:v>
      </x:c>
      <x:c r="B17" s="105" t="n">
        <x:v>47.69868</x:v>
      </x:c>
      <x:c r="C17" s="105" t="n">
        <x:v>12.33082</x:v>
      </x:c>
      <x:c r="D17" s="103" t="n">
        <x:v>0.0006</x:v>
      </x:c>
      <x:c r="E17" s="103" t="n">
        <x:v>0.03954</x:v>
      </x:c>
      <x:c r="F17" s="103" t="n">
        <x:v>0.17724</x:v>
      </x:c>
      <x:c r="G17" s="103" t="n">
        <x:v>0.1604</x:v>
      </x:c>
      <x:c r="H17" s="105" t="n">
        <x:v>36</x:v>
      </x:c>
      <x:c r="I17" s="105" t="n">
        <x:v>60</x:v>
      </x:c>
    </x:row>
    <x:row r="18">
      <x:c r="A18" s="23" t="str">
        <x:v>Getafe CF</x:v>
      </x:c>
      <x:c r="B18" s="105" t="n">
        <x:v>47.18558</x:v>
      </x:c>
      <x:c r="C18" s="105" t="n">
        <x:v>12.6273</x:v>
      </x:c>
      <x:c r="D18" s="103" t="n">
        <x:v>0.00058</x:v>
      </x:c>
      <x:c r="E18" s="103" t="n">
        <x:v>0.03382</x:v>
      </x:c>
      <x:c r="F18" s="103" t="n">
        <x:v>0.1593</x:v>
      </x:c>
      <x:c r="G18" s="103" t="n">
        <x:v>0.17446</x:v>
      </x:c>
      <x:c r="H18" s="105" t="n">
        <x:v>35</x:v>
      </x:c>
      <x:c r="I18" s="105" t="n">
        <x:v>60</x:v>
      </x:c>
    </x:row>
    <x:row r="19">
      <x:c r="A19" s="23" t="str">
        <x:v>Deportivo Alavés</x:v>
      </x:c>
      <x:c r="B19" s="105" t="n">
        <x:v>46.83056</x:v>
      </x:c>
      <x:c r="C19" s="105" t="n">
        <x:v>12.83932</x:v>
      </x:c>
      <x:c r="D19" s="103" t="n">
        <x:v>0.00034</x:v>
      </x:c>
      <x:c r="E19" s="103" t="n">
        <x:v>0.03262</x:v>
      </x:c>
      <x:c r="F19" s="103" t="n">
        <x:v>0.14982</x:v>
      </x:c>
      <x:c r="G19" s="103" t="n">
        <x:v>0.19034</x:v>
      </x:c>
      <x:c r="H19" s="105" t="n">
        <x:v>35</x:v>
      </x:c>
      <x:c r="I19" s="105" t="n">
        <x:v>59</x:v>
      </x:c>
    </x:row>
    <x:row r="20">
      <x:c r="A20" s="23" t="str">
        <x:v>Sevilla FC</x:v>
      </x:c>
      <x:c r="B20" s="105" t="n">
        <x:v>46.58534</x:v>
      </x:c>
      <x:c r="C20" s="105" t="n">
        <x:v>12.98234</x:v>
      </x:c>
      <x:c r="D20" s="103" t="n">
        <x:v>0.00034</x:v>
      </x:c>
      <x:c r="E20" s="103" t="n">
        <x:v>0.02956</x:v>
      </x:c>
      <x:c r="F20" s="103" t="n">
        <x:v>0.14232</x:v>
      </x:c>
      <x:c r="G20" s="103" t="n">
        <x:v>0.19818</x:v>
      </x:c>
      <x:c r="H20" s="105" t="n">
        <x:v>35</x:v>
      </x:c>
      <x:c r="I20" s="105" t="n">
        <x:v>59</x:v>
      </x:c>
    </x:row>
    <x:row r="21">
      <x:c r="A21" s="23" t="str">
        <x:v>Elche CF</x:v>
      </x:c>
      <x:c r="B21" s="105" t="n">
        <x:v>46.47806</x:v>
      </x:c>
      <x:c r="C21" s="105" t="n">
        <x:v>13.04834</x:v>
      </x:c>
      <x:c r="D21" s="103" t="n">
        <x:v>0.00052</x:v>
      </x:c>
      <x:c r="E21" s="103" t="n">
        <x:v>0.02784</x:v>
      </x:c>
      <x:c r="F21" s="103" t="n">
        <x:v>0.13966</x:v>
      </x:c>
      <x:c r="G21" s="103" t="n">
        <x:v>0.20192</x:v>
      </x:c>
      <x:c r="H21" s="105" t="n">
        <x:v>34</x:v>
      </x:c>
      <x:c r="I21" s="105" t="n">
        <x:v>59</x:v>
      </x:c>
    </x:row>
    <x:row r="22">
      <x:c r="A22" s="23" t="str">
        <x:v>RCD Espanyol</x:v>
      </x:c>
      <x:c r="B22" s="105" t="n">
        <x:v>46.19752</x:v>
      </x:c>
      <x:c r="C22" s="105" t="n">
        <x:v>13.19778</x:v>
      </x:c>
      <x:c r="D22" s="103" t="n">
        <x:v>0.00028</x:v>
      </x:c>
      <x:c r="E22" s="103" t="n">
        <x:v>0.02738</x:v>
      </x:c>
      <x:c r="F22" s="103" t="n">
        <x:v>0.13344</x:v>
      </x:c>
      <x:c r="G22" s="103" t="n">
        <x:v>0.21244</x:v>
      </x:c>
      <x:c r="H22" s="105" t="n">
        <x:v>34</x:v>
      </x:c>
      <x:c r="I22" s="105" t="n">
        <x:v>59</x:v>
      </x:c>
    </x:row>
    <x:row r="23">
      <x:c r="A23" s="23" t="str">
        <x:v>Málaga CF</x:v>
      </x:c>
      <x:c r="B23" s="105" t="n">
        <x:v>43.07504</x:v>
      </x:c>
      <x:c r="C23" s="105" t="n">
        <x:v>14.9701</x:v>
      </x:c>
      <x:c r="D23" s="103" t="n">
        <x:v>0.00006</x:v>
      </x:c>
      <x:c r="E23" s="103" t="n">
        <x:v>0.01056</x:v>
      </x:c>
      <x:c r="F23" s="103" t="n">
        <x:v>0.06492</x:v>
      </x:c>
      <x:c r="G23" s="103" t="n">
        <x:v>0.35736</x:v>
      </x:c>
      <x:c r="H23" s="105" t="n">
        <x:v>31</x:v>
      </x:c>
      <x:c r="I23" s="105" t="n">
        <x:v>56</x:v>
      </x:c>
    </x:row>
    <x:row r="24">
      <x:c r="A24" s="23" t="str">
        <x:v>Racing de Santander</x:v>
      </x:c>
      <x:c r="B24" s="105" t="n">
        <x:v>42.6444</x:v>
      </x:c>
      <x:c r="C24" s="105" t="n">
        <x:v>15.20164</x:v>
      </x:c>
      <x:c r="D24" s="103" t="n">
        <x:v>0.00014</x:v>
      </x:c>
      <x:c r="E24" s="103" t="n">
        <x:v>0.00972</x:v>
      </x:c>
      <x:c r="F24" s="103" t="n">
        <x:v>0.05874</x:v>
      </x:c>
      <x:c r="G24" s="103" t="n">
        <x:v>0.38014</x:v>
      </x:c>
      <x:c r="H24" s="105" t="n">
        <x:v>31</x:v>
      </x:c>
      <x:c r="I24" s="105" t="n">
        <x:v>55</x:v>
      </x:c>
    </x:row>
    <x:row r="25">
      <x:c r="A25" s="23" t="str">
        <x:v>RC Deportivo</x:v>
      </x:c>
      <x:c r="B25" s="105" t="n">
        <x:v>40.40898</x:v>
      </x:c>
      <x:c r="C25" s="105" t="n">
        <x:v>16.33776</x:v>
      </x:c>
      <x:c r="D25" s="103" t="n">
        <x:v>0.00002</x:v>
      </x:c>
      <x:c r="E25" s="103" t="n">
        <x:v>0.00464</x:v>
      </x:c>
      <x:c r="F25" s="103" t="n">
        <x:v>0.03086</x:v>
      </x:c>
      <x:c r="G25" s="103" t="n">
        <x:v>0.5004</x:v>
      </x:c>
      <x:c r="H25" s="105" t="n">
        <x:v>29</x:v>
      </x:c>
      <x:c r="I25" s="105" t="n">
        <x:v>53</x:v>
      </x:c>
    </x:row>
  </x:sheetData>
  <x:mergeCells>
    <x:mergeCell ref="A1:I1"/>
    <x:mergeCell ref="A2:I2"/>
  </x:mergeCells>
  <x:conditionalFormatting sqref="D6:D25">
    <x:cfRule type="dataBar" priority="1">
      <x:dataBar>
        <x:cfvo type="min"/>
        <x:cfvo type="max"/>
        <x:color rgb="FF0F766E"/>
      </x:dataBar>
    </x:cfRule>
  </x:conditionalFormatting>
  <x:conditionalFormatting sqref="G6:G25">
    <x:cfRule type="dataBar" priority="2">
      <x:dataBar>
        <x:cfvo type="min"/>
        <x:cfvo type="max"/>
        <x:color rgb="FFDC2626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0e14c0ffe1143b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</x:cols>
  <x:sheetData>
    <x:row r="1" ht="30" customHeight="1">
      <x:c r="A1" s="22" t="str">
        <x:v>Cambios frente a la pretemporada</x:v>
      </x:c>
      <x:c r="B1" s="22"/>
      <x:c r="C1" s="22"/>
      <x:c r="D1" s="22"/>
      <x:c r="E1" s="22"/>
      <x:c r="F1" s="22"/>
      <x:c r="G1" s="22"/>
      <x:c r="H1" s="22"/>
      <x:c r="I1" s="22"/>
    </x:row>
    <x:row r="2" ht="32" customHeight="1">
      <x:c r="A2" s="7" t="str">
        <x:v>Deltas respecto a la Fase 8. En la ejecución inicial deben ser exactamente cero.</x:v>
      </x:c>
      <x:c r="B2" s="7"/>
      <x:c r="C2" s="7"/>
      <x:c r="D2" s="7"/>
      <x:c r="E2" s="7"/>
      <x:c r="F2" s="7"/>
      <x:c r="G2" s="7"/>
      <x:c r="H2" s="7"/>
      <x:c r="I2" s="7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</x:row>
    <x:row r="5" ht="32" customHeight="1">
      <x:c r="A5" s="24" t="str">
        <x:v>Equipo</x:v>
      </x:c>
      <x:c r="B5" s="25" t="str">
        <x:v>Campeón actual</x:v>
      </x:c>
      <x:c r="C5" s="25" t="str">
        <x:v>Δ Campeón</x:v>
      </x:c>
      <x:c r="D5" s="25" t="str">
        <x:v>Δ Top 4</x:v>
      </x:c>
      <x:c r="E5" s="25" t="str">
        <x:v>Δ Top 7</x:v>
      </x:c>
      <x:c r="F5" s="25" t="str">
        <x:v>Descenso actual</x:v>
      </x:c>
      <x:c r="G5" s="25" t="str">
        <x:v>Δ Descenso</x:v>
      </x:c>
      <x:c r="H5" s="25" t="str">
        <x:v>Puntos actuales</x:v>
      </x:c>
      <x:c r="I5" s="26" t="str">
        <x:v>Δ Puntos</x:v>
      </x:c>
    </x:row>
    <x:row r="6">
      <x:c r="A6" s="23" t="str">
        <x:v>FC Barcelona</x:v>
      </x:c>
      <x:c r="B6" s="106" t="n">
        <x:v>0.53748</x:v>
      </x:c>
      <x:c r="C6" s="106" t="n">
        <x:v>0</x:v>
      </x:c>
      <x:c r="D6" s="106" t="n">
        <x:v>0</x:v>
      </x:c>
      <x:c r="E6" s="106" t="n">
        <x:v>0</x:v>
      </x:c>
      <x:c r="F6" s="106" t="n">
        <x:v>0</x:v>
      </x:c>
      <x:c r="G6" s="106" t="n">
        <x:v>0</x:v>
      </x:c>
      <x:c r="H6" s="104" t="n">
        <x:v>74.66914</x:v>
      </x:c>
      <x:c r="I6" s="104" t="n">
        <x:v>0</x:v>
      </x:c>
    </x:row>
    <x:row r="7">
      <x:c r="A7" s="23" t="str">
        <x:v>Real Madrid</x:v>
      </x:c>
      <x:c r="B7" s="106" t="n">
        <x:v>0.33054</x:v>
      </x:c>
      <x:c r="C7" s="106" t="n">
        <x:v>0</x:v>
      </x:c>
      <x:c r="D7" s="106" t="n">
        <x:v>0</x:v>
      </x:c>
      <x:c r="E7" s="106" t="n">
        <x:v>0</x:v>
      </x:c>
      <x:c r="F7" s="106" t="n">
        <x:v>0.00006</x:v>
      </x:c>
      <x:c r="G7" s="106" t="n">
        <x:v>0</x:v>
      </x:c>
      <x:c r="H7" s="104" t="n">
        <x:v>71.61856</x:v>
      </x:c>
      <x:c r="I7" s="104" t="n">
        <x:v>0</x:v>
      </x:c>
    </x:row>
    <x:row r="8">
      <x:c r="A8" s="23" t="str">
        <x:v>Villarreal CF</x:v>
      </x:c>
      <x:c r="B8" s="106" t="n">
        <x:v>0.05948</x:v>
      </x:c>
      <x:c r="C8" s="106" t="n">
        <x:v>0</x:v>
      </x:c>
      <x:c r="D8" s="106" t="n">
        <x:v>0</x:v>
      </x:c>
      <x:c r="E8" s="106" t="n">
        <x:v>0</x:v>
      </x:c>
      <x:c r="F8" s="106" t="n">
        <x:v>0.0024</x:v>
      </x:c>
      <x:c r="G8" s="106" t="n">
        <x:v>0</x:v>
      </x:c>
      <x:c r="H8" s="104" t="n">
        <x:v>62.8004</x:v>
      </x:c>
      <x:c r="I8" s="104" t="n">
        <x:v>0</x:v>
      </x:c>
    </x:row>
    <x:row r="9">
      <x:c r="A9" s="23" t="str">
        <x:v>Atlético de Madrid</x:v>
      </x:c>
      <x:c r="B9" s="106" t="n">
        <x:v>0.04216</x:v>
      </x:c>
      <x:c r="C9" s="106" t="n">
        <x:v>0</x:v>
      </x:c>
      <x:c r="D9" s="106" t="n">
        <x:v>0</x:v>
      </x:c>
      <x:c r="E9" s="106" t="n">
        <x:v>0</x:v>
      </x:c>
      <x:c r="F9" s="106" t="n">
        <x:v>0.00396</x:v>
      </x:c>
      <x:c r="G9" s="106" t="n">
        <x:v>0</x:v>
      </x:c>
      <x:c r="H9" s="104" t="n">
        <x:v>61.38876</x:v>
      </x:c>
      <x:c r="I9" s="104" t="n">
        <x:v>0</x:v>
      </x:c>
    </x:row>
    <x:row r="10">
      <x:c r="A10" s="23" t="str">
        <x:v>Real Betis</x:v>
      </x:c>
      <x:c r="B10" s="106" t="n">
        <x:v>0.01768</x:v>
      </x:c>
      <x:c r="C10" s="106" t="n">
        <x:v>0</x:v>
      </x:c>
      <x:c r="D10" s="106" t="n">
        <x:v>0</x:v>
      </x:c>
      <x:c r="E10" s="106" t="n">
        <x:v>0</x:v>
      </x:c>
      <x:c r="F10" s="106" t="n">
        <x:v>0.01312</x:v>
      </x:c>
      <x:c r="G10" s="106" t="n">
        <x:v>0</x:v>
      </x:c>
      <x:c r="H10" s="104" t="n">
        <x:v>57.87236</x:v>
      </x:c>
      <x:c r="I10" s="104" t="n">
        <x:v>0</x:v>
      </x:c>
    </x:row>
    <x:row r="11">
      <x:c r="A11" s="23" t="str">
        <x:v>RC Celta</x:v>
      </x:c>
      <x:c r="B11" s="106" t="n">
        <x:v>0.00302</x:v>
      </x:c>
      <x:c r="C11" s="106" t="n">
        <x:v>0</x:v>
      </x:c>
      <x:c r="D11" s="106" t="n">
        <x:v>0</x:v>
      </x:c>
      <x:c r="E11" s="106" t="n">
        <x:v>0</x:v>
      </x:c>
      <x:c r="F11" s="106" t="n">
        <x:v>0.06458</x:v>
      </x:c>
      <x:c r="G11" s="106" t="n">
        <x:v>0</x:v>
      </x:c>
      <x:c r="H11" s="104" t="n">
        <x:v>51.89406</x:v>
      </x:c>
      <x:c r="I11" s="104" t="n">
        <x:v>0</x:v>
      </x:c>
    </x:row>
    <x:row r="12">
      <x:c r="A12" s="23" t="str">
        <x:v>Rayo Vallecano</x:v>
      </x:c>
      <x:c r="B12" s="106" t="n">
        <x:v>0.0017</x:v>
      </x:c>
      <x:c r="C12" s="106" t="n">
        <x:v>0</x:v>
      </x:c>
      <x:c r="D12" s="106" t="n">
        <x:v>0</x:v>
      </x:c>
      <x:c r="E12" s="106" t="n">
        <x:v>0</x:v>
      </x:c>
      <x:c r="F12" s="106" t="n">
        <x:v>0.08406</x:v>
      </x:c>
      <x:c r="G12" s="106" t="n">
        <x:v>0</x:v>
      </x:c>
      <x:c r="H12" s="104" t="n">
        <x:v>50.71326</x:v>
      </x:c>
      <x:c r="I12" s="104" t="n">
        <x:v>0</x:v>
      </x:c>
    </x:row>
    <x:row r="13">
      <x:c r="A13" s="23" t="str">
        <x:v>Athletic Club</x:v>
      </x:c>
      <x:c r="B13" s="106" t="n">
        <x:v>0.002</x:v>
      </x:c>
      <x:c r="C13" s="106" t="n">
        <x:v>0</x:v>
      </x:c>
      <x:c r="D13" s="106" t="n">
        <x:v>0</x:v>
      </x:c>
      <x:c r="E13" s="106" t="n">
        <x:v>0</x:v>
      </x:c>
      <x:c r="F13" s="106" t="n">
        <x:v>0.08606</x:v>
      </x:c>
      <x:c r="G13" s="106" t="n">
        <x:v>0</x:v>
      </x:c>
      <x:c r="H13" s="104" t="n">
        <x:v>50.58172</x:v>
      </x:c>
      <x:c r="I13" s="104" t="n">
        <x:v>0</x:v>
      </x:c>
    </x:row>
    <x:row r="14">
      <x:c r="A14" s="23" t="str">
        <x:v>Valencia CF</x:v>
      </x:c>
      <x:c r="B14" s="106" t="n">
        <x:v>0.00116</x:v>
      </x:c>
      <x:c r="C14" s="106" t="n">
        <x:v>0</x:v>
      </x:c>
      <x:c r="D14" s="106" t="n">
        <x:v>0</x:v>
      </x:c>
      <x:c r="E14" s="106" t="n">
        <x:v>0</x:v>
      </x:c>
      <x:c r="F14" s="106" t="n">
        <x:v>0.10526</x:v>
      </x:c>
      <x:c r="G14" s="106" t="n">
        <x:v>0</x:v>
      </x:c>
      <x:c r="H14" s="104" t="n">
        <x:v>49.68972</x:v>
      </x:c>
      <x:c r="I14" s="104" t="n">
        <x:v>0</x:v>
      </x:c>
    </x:row>
    <x:row r="15">
      <x:c r="A15" s="23" t="str">
        <x:v>Real Sociedad</x:v>
      </x:c>
      <x:c r="B15" s="106" t="n">
        <x:v>0.00114</x:v>
      </x:c>
      <x:c r="C15" s="106" t="n">
        <x:v>0</x:v>
      </x:c>
      <x:c r="D15" s="106" t="n">
        <x:v>0</x:v>
      </x:c>
      <x:c r="E15" s="106" t="n">
        <x:v>0</x:v>
      </x:c>
      <x:c r="F15" s="106" t="n">
        <x:v>0.11554</x:v>
      </x:c>
      <x:c r="G15" s="106" t="n">
        <x:v>0</x:v>
      </x:c>
      <x:c r="H15" s="104" t="n">
        <x:v>49.37406</x:v>
      </x:c>
      <x:c r="I15" s="104" t="n">
        <x:v>0</x:v>
      </x:c>
    </x:row>
    <x:row r="16">
      <x:c r="A16" s="23" t="str">
        <x:v>Levante UD</x:v>
      </x:c>
      <x:c r="B16" s="106" t="n">
        <x:v>0.00076</x:v>
      </x:c>
      <x:c r="C16" s="106" t="n">
        <x:v>0</x:v>
      </x:c>
      <x:c r="D16" s="106" t="n">
        <x:v>0</x:v>
      </x:c>
      <x:c r="E16" s="106" t="n">
        <x:v>0</x:v>
      </x:c>
      <x:c r="F16" s="106" t="n">
        <x:v>0.14932</x:v>
      </x:c>
      <x:c r="G16" s="106" t="n">
        <x:v>0</x:v>
      </x:c>
      <x:c r="H16" s="104" t="n">
        <x:v>48.00702</x:v>
      </x:c>
      <x:c r="I16" s="104" t="n">
        <x:v>0</x:v>
      </x:c>
    </x:row>
    <x:row r="17">
      <x:c r="A17" s="23" t="str">
        <x:v>CA Osasuna</x:v>
      </x:c>
      <x:c r="B17" s="106" t="n">
        <x:v>0.0006</x:v>
      </x:c>
      <x:c r="C17" s="106" t="n">
        <x:v>0</x:v>
      </x:c>
      <x:c r="D17" s="106" t="n">
        <x:v>0</x:v>
      </x:c>
      <x:c r="E17" s="106" t="n">
        <x:v>0</x:v>
      </x:c>
      <x:c r="F17" s="106" t="n">
        <x:v>0.1604</x:v>
      </x:c>
      <x:c r="G17" s="106" t="n">
        <x:v>0</x:v>
      </x:c>
      <x:c r="H17" s="104" t="n">
        <x:v>47.69868</x:v>
      </x:c>
      <x:c r="I17" s="104" t="n">
        <x:v>0</x:v>
      </x:c>
    </x:row>
    <x:row r="18">
      <x:c r="A18" s="23" t="str">
        <x:v>Getafe CF</x:v>
      </x:c>
      <x:c r="B18" s="106" t="n">
        <x:v>0.00058</x:v>
      </x:c>
      <x:c r="C18" s="106" t="n">
        <x:v>0</x:v>
      </x:c>
      <x:c r="D18" s="106" t="n">
        <x:v>0</x:v>
      </x:c>
      <x:c r="E18" s="106" t="n">
        <x:v>0</x:v>
      </x:c>
      <x:c r="F18" s="106" t="n">
        <x:v>0.17446</x:v>
      </x:c>
      <x:c r="G18" s="106" t="n">
        <x:v>0</x:v>
      </x:c>
      <x:c r="H18" s="104" t="n">
        <x:v>47.18558</x:v>
      </x:c>
      <x:c r="I18" s="104" t="n">
        <x:v>0</x:v>
      </x:c>
    </x:row>
    <x:row r="19">
      <x:c r="A19" s="23" t="str">
        <x:v>Deportivo Alavés</x:v>
      </x:c>
      <x:c r="B19" s="106" t="n">
        <x:v>0.00034</x:v>
      </x:c>
      <x:c r="C19" s="106" t="n">
        <x:v>0</x:v>
      </x:c>
      <x:c r="D19" s="106" t="n">
        <x:v>0</x:v>
      </x:c>
      <x:c r="E19" s="106" t="n">
        <x:v>0</x:v>
      </x:c>
      <x:c r="F19" s="106" t="n">
        <x:v>0.19034</x:v>
      </x:c>
      <x:c r="G19" s="106" t="n">
        <x:v>0</x:v>
      </x:c>
      <x:c r="H19" s="104" t="n">
        <x:v>46.83056</x:v>
      </x:c>
      <x:c r="I19" s="104" t="n">
        <x:v>0</x:v>
      </x:c>
    </x:row>
    <x:row r="20">
      <x:c r="A20" s="23" t="str">
        <x:v>Sevilla FC</x:v>
      </x:c>
      <x:c r="B20" s="106" t="n">
        <x:v>0.00034</x:v>
      </x:c>
      <x:c r="C20" s="106" t="n">
        <x:v>0</x:v>
      </x:c>
      <x:c r="D20" s="106" t="n">
        <x:v>0</x:v>
      </x:c>
      <x:c r="E20" s="106" t="n">
        <x:v>0</x:v>
      </x:c>
      <x:c r="F20" s="106" t="n">
        <x:v>0.19818</x:v>
      </x:c>
      <x:c r="G20" s="106" t="n">
        <x:v>0</x:v>
      </x:c>
      <x:c r="H20" s="104" t="n">
        <x:v>46.58534</x:v>
      </x:c>
      <x:c r="I20" s="104" t="n">
        <x:v>0</x:v>
      </x:c>
    </x:row>
    <x:row r="21">
      <x:c r="A21" s="23" t="str">
        <x:v>Elche CF</x:v>
      </x:c>
      <x:c r="B21" s="106" t="n">
        <x:v>0.00052</x:v>
      </x:c>
      <x:c r="C21" s="106" t="n">
        <x:v>0</x:v>
      </x:c>
      <x:c r="D21" s="106" t="n">
        <x:v>0</x:v>
      </x:c>
      <x:c r="E21" s="106" t="n">
        <x:v>0</x:v>
      </x:c>
      <x:c r="F21" s="106" t="n">
        <x:v>0.20192</x:v>
      </x:c>
      <x:c r="G21" s="106" t="n">
        <x:v>0</x:v>
      </x:c>
      <x:c r="H21" s="104" t="n">
        <x:v>46.47806</x:v>
      </x:c>
      <x:c r="I21" s="104" t="n">
        <x:v>0</x:v>
      </x:c>
    </x:row>
    <x:row r="22">
      <x:c r="A22" s="23" t="str">
        <x:v>RCD Espanyol</x:v>
      </x:c>
      <x:c r="B22" s="106" t="n">
        <x:v>0.00028</x:v>
      </x:c>
      <x:c r="C22" s="106" t="n">
        <x:v>0</x:v>
      </x:c>
      <x:c r="D22" s="106" t="n">
        <x:v>0</x:v>
      </x:c>
      <x:c r="E22" s="106" t="n">
        <x:v>0</x:v>
      </x:c>
      <x:c r="F22" s="106" t="n">
        <x:v>0.21244</x:v>
      </x:c>
      <x:c r="G22" s="106" t="n">
        <x:v>0</x:v>
      </x:c>
      <x:c r="H22" s="104" t="n">
        <x:v>46.19752</x:v>
      </x:c>
      <x:c r="I22" s="104" t="n">
        <x:v>0</x:v>
      </x:c>
    </x:row>
    <x:row r="23">
      <x:c r="A23" s="23" t="str">
        <x:v>Málaga CF</x:v>
      </x:c>
      <x:c r="B23" s="106" t="n">
        <x:v>0.00006</x:v>
      </x:c>
      <x:c r="C23" s="106" t="n">
        <x:v>0</x:v>
      </x:c>
      <x:c r="D23" s="106" t="n">
        <x:v>0</x:v>
      </x:c>
      <x:c r="E23" s="106" t="n">
        <x:v>0</x:v>
      </x:c>
      <x:c r="F23" s="106" t="n">
        <x:v>0.35736</x:v>
      </x:c>
      <x:c r="G23" s="106" t="n">
        <x:v>0</x:v>
      </x:c>
      <x:c r="H23" s="104" t="n">
        <x:v>43.07504</x:v>
      </x:c>
      <x:c r="I23" s="104" t="n">
        <x:v>0</x:v>
      </x:c>
    </x:row>
    <x:row r="24">
      <x:c r="A24" s="23" t="str">
        <x:v>Racing de Santander</x:v>
      </x:c>
      <x:c r="B24" s="106" t="n">
        <x:v>0.00014</x:v>
      </x:c>
      <x:c r="C24" s="106" t="n">
        <x:v>0</x:v>
      </x:c>
      <x:c r="D24" s="106" t="n">
        <x:v>0</x:v>
      </x:c>
      <x:c r="E24" s="106" t="n">
        <x:v>0</x:v>
      </x:c>
      <x:c r="F24" s="106" t="n">
        <x:v>0.38014</x:v>
      </x:c>
      <x:c r="G24" s="106" t="n">
        <x:v>0</x:v>
      </x:c>
      <x:c r="H24" s="104" t="n">
        <x:v>42.6444</x:v>
      </x:c>
      <x:c r="I24" s="104" t="n">
        <x:v>0</x:v>
      </x:c>
    </x:row>
    <x:row r="25">
      <x:c r="A25" s="23" t="str">
        <x:v>RC Deportivo</x:v>
      </x:c>
      <x:c r="B25" s="106" t="n">
        <x:v>0.00002</x:v>
      </x:c>
      <x:c r="C25" s="106" t="n">
        <x:v>0</x:v>
      </x:c>
      <x:c r="D25" s="106" t="n">
        <x:v>0</x:v>
      </x:c>
      <x:c r="E25" s="106" t="n">
        <x:v>0</x:v>
      </x:c>
      <x:c r="F25" s="106" t="n">
        <x:v>0.5004</x:v>
      </x:c>
      <x:c r="G25" s="106" t="n">
        <x:v>0</x:v>
      </x:c>
      <x:c r="H25" s="104" t="n">
        <x:v>40.40898</x:v>
      </x:c>
      <x:c r="I25" s="104" t="n">
        <x:v>0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f1b8a10b18144d0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30" customHeight="1">
      <x:c r="A1" s="22" t="str">
        <x:v>Estado dinámico de los 20 equipos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32" customHeight="1">
      <x:c r="A2" s="7" t="str">
        <x:v>Variables calculadas únicamente con información disponible antes del siguiente partido.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</x:row>
    <x:row r="5" ht="32" customHeight="1">
      <x:c r="A5" s="24" t="str">
        <x:v>Equipo</x:v>
      </x:c>
      <x:c r="B5" s="25" t="str">
        <x:v>Ascendido</x:v>
      </x:c>
      <x:c r="C5" s="25" t="str">
        <x:v>PJ actuales</x:v>
      </x:c>
      <x:c r="D5" s="25" t="str">
        <x:v>PPG forma 5</x:v>
      </x:c>
      <x:c r="E5" s="25" t="str">
        <x:v>% victorias 5</x:v>
      </x:c>
      <x:c r="F5" s="25" t="str">
        <x:v>GF forma 5</x:v>
      </x:c>
      <x:c r="G5" s="25" t="str">
        <x:v>GC forma 5</x:v>
      </x:c>
      <x:c r="H5" s="25" t="str">
        <x:v>PPG local 5</x:v>
      </x:c>
      <x:c r="I5" s="25" t="str">
        <x:v>PPG visita 5</x:v>
      </x:c>
      <x:c r="J5" s="25" t="str">
        <x:v>PPG temporada</x:v>
      </x:c>
      <x:c r="K5" s="25" t="str">
        <x:v>Posición</x:v>
      </x:c>
      <x:c r="L5" s="25" t="str">
        <x:v>Elo</x:v>
      </x:c>
      <x:c r="M5" s="25" t="str">
        <x:v>Puntos</x:v>
      </x:c>
      <x:c r="N5" s="26" t="str">
        <x:v>DG</x:v>
      </x:c>
    </x:row>
    <x:row r="6">
      <x:c r="A6" s="23" t="str">
        <x:v>Deportivo Alavés</x:v>
      </x:c>
      <x:c r="B6" s="23" t="n">
        <x:v>0</x:v>
      </x:c>
      <x:c r="C6" s="23" t="n">
        <x:v>0</x:v>
      </x:c>
      <x:c r="D6" s="104" t="n">
        <x:v>1.4</x:v>
      </x:c>
      <x:c r="E6" s="103" t="n">
        <x:v>0.4</x:v>
      </x:c>
      <x:c r="F6" s="104" t="n">
        <x:v>1.2</x:v>
      </x:c>
      <x:c r="G6" s="104" t="n">
        <x:v>1.4</x:v>
      </x:c>
      <x:c r="H6" s="104" t="n">
        <x:v>1.4</x:v>
      </x:c>
      <x:c r="I6" s="104" t="n">
        <x:v>1.6</x:v>
      </x:c>
      <x:c r="J6" s="104" t="str"/>
      <x:c r="K6" s="23" t="str"/>
      <x:c r="L6" s="105" t="n">
        <x:v>1481.1596411976118</x:v>
      </x:c>
      <x:c r="M6" s="23" t="n">
        <x:v>0</x:v>
      </x:c>
      <x:c r="N6" s="23" t="n">
        <x:v>0</x:v>
      </x:c>
    </x:row>
    <x:row r="7">
      <x:c r="A7" s="23" t="str">
        <x:v>Athletic Club</x:v>
      </x:c>
      <x:c r="B7" s="23" t="n">
        <x:v>0</x:v>
      </x:c>
      <x:c r="C7" s="23" t="n">
        <x:v>0</x:v>
      </x:c>
      <x:c r="D7" s="104" t="n">
        <x:v>0.8</x:v>
      </x:c>
      <x:c r="E7" s="103" t="n">
        <x:v>0.2</x:v>
      </x:c>
      <x:c r="F7" s="104" t="n">
        <x:v>1.4</x:v>
      </x:c>
      <x:c r="G7" s="104" t="n">
        <x:v>2</x:v>
      </x:c>
      <x:c r="H7" s="104" t="n">
        <x:v>1.4</x:v>
      </x:c>
      <x:c r="I7" s="104" t="n">
        <x:v>0.6</x:v>
      </x:c>
      <x:c r="J7" s="104" t="str"/>
      <x:c r="K7" s="23" t="str"/>
      <x:c r="L7" s="105" t="n">
        <x:v>1495.7935124307858</x:v>
      </x:c>
      <x:c r="M7" s="23" t="n">
        <x:v>0</x:v>
      </x:c>
      <x:c r="N7" s="23" t="n">
        <x:v>0</x:v>
      </x:c>
    </x:row>
    <x:row r="8">
      <x:c r="A8" s="23" t="str">
        <x:v>Atlético de Madrid</x:v>
      </x:c>
      <x:c r="B8" s="23" t="n">
        <x:v>0</x:v>
      </x:c>
      <x:c r="C8" s="23" t="n">
        <x:v>0</x:v>
      </x:c>
      <x:c r="D8" s="104" t="n">
        <x:v>1.8</x:v>
      </x:c>
      <x:c r="E8" s="103" t="n">
        <x:v>0.6</x:v>
      </x:c>
      <x:c r="F8" s="104" t="n">
        <x:v>1.2</x:v>
      </x:c>
      <x:c r="G8" s="104" t="n">
        <x:v>1.4</x:v>
      </x:c>
      <x:c r="H8" s="104" t="n">
        <x:v>1.8</x:v>
      </x:c>
      <x:c r="I8" s="104" t="n">
        <x:v>1.2</x:v>
      </x:c>
      <x:c r="J8" s="104" t="str"/>
      <x:c r="K8" s="23" t="str"/>
      <x:c r="L8" s="105" t="n">
        <x:v>1572.1842025747462</x:v>
      </x:c>
      <x:c r="M8" s="23" t="n">
        <x:v>0</x:v>
      </x:c>
      <x:c r="N8" s="23" t="n">
        <x:v>0</x:v>
      </x:c>
    </x:row>
    <x:row r="9">
      <x:c r="A9" s="23" t="str">
        <x:v>FC Barcelona</x:v>
      </x:c>
      <x:c r="B9" s="23" t="n">
        <x:v>0</x:v>
      </x:c>
      <x:c r="C9" s="23" t="n">
        <x:v>0</x:v>
      </x:c>
      <x:c r="D9" s="104" t="n">
        <x:v>1.8</x:v>
      </x:c>
      <x:c r="E9" s="103" t="n">
        <x:v>0.6</x:v>
      </x:c>
      <x:c r="F9" s="104" t="n">
        <x:v>1.6</x:v>
      </x:c>
      <x:c r="G9" s="104" t="n">
        <x:v>1.2</x:v>
      </x:c>
      <x:c r="H9" s="104" t="n">
        <x:v>3</x:v>
      </x:c>
      <x:c r="I9" s="104" t="n">
        <x:v>1.8</x:v>
      </x:c>
      <x:c r="J9" s="104" t="str"/>
      <x:c r="K9" s="23" t="str"/>
      <x:c r="L9" s="105" t="n">
        <x:v>1670.0690083357954</x:v>
      </x:c>
      <x:c r="M9" s="23" t="n">
        <x:v>0</x:v>
      </x:c>
      <x:c r="N9" s="23" t="n">
        <x:v>0</x:v>
      </x:c>
    </x:row>
    <x:row r="10">
      <x:c r="A10" s="23" t="str">
        <x:v>Real Betis</x:v>
      </x:c>
      <x:c r="B10" s="23" t="n">
        <x:v>0</x:v>
      </x:c>
      <x:c r="C10" s="23" t="n">
        <x:v>0</x:v>
      </x:c>
      <x:c r="D10" s="104" t="n">
        <x:v>2</x:v>
      </x:c>
      <x:c r="E10" s="103" t="n">
        <x:v>0.6</x:v>
      </x:c>
      <x:c r="F10" s="104" t="n">
        <x:v>2</x:v>
      </x:c>
      <x:c r="G10" s="104" t="n">
        <x:v>1.4</x:v>
      </x:c>
      <x:c r="H10" s="104" t="n">
        <x:v>2.2</x:v>
      </x:c>
      <x:c r="I10" s="104" t="n">
        <x:v>1</x:v>
      </x:c>
      <x:c r="J10" s="104" t="str"/>
      <x:c r="K10" s="23" t="str"/>
      <x:c r="L10" s="105" t="n">
        <x:v>1555.2880787227114</x:v>
      </x:c>
      <x:c r="M10" s="23" t="n">
        <x:v>0</x:v>
      </x:c>
      <x:c r="N10" s="23" t="n">
        <x:v>0</x:v>
      </x:c>
    </x:row>
    <x:row r="11">
      <x:c r="A11" s="23" t="str">
        <x:v>RC Celta</x:v>
      </x:c>
      <x:c r="B11" s="23" t="n">
        <x:v>0</x:v>
      </x:c>
      <x:c r="C11" s="23" t="n">
        <x:v>0</x:v>
      </x:c>
      <x:c r="D11" s="104" t="n">
        <x:v>2</x:v>
      </x:c>
      <x:c r="E11" s="103" t="n">
        <x:v>0.6</x:v>
      </x:c>
      <x:c r="F11" s="104" t="n">
        <x:v>1.6</x:v>
      </x:c>
      <x:c r="G11" s="104" t="n">
        <x:v>1</x:v>
      </x:c>
      <x:c r="H11" s="104" t="n">
        <x:v>1.2</x:v>
      </x:c>
      <x:c r="I11" s="104" t="n">
        <x:v>1.4</x:v>
      </x:c>
      <x:c r="J11" s="104" t="str"/>
      <x:c r="K11" s="23" t="str"/>
      <x:c r="L11" s="105" t="n">
        <x:v>1520.6666347724267</x:v>
      </x:c>
      <x:c r="M11" s="23" t="n">
        <x:v>0</x:v>
      </x:c>
      <x:c r="N11" s="23" t="n">
        <x:v>0</x:v>
      </x:c>
    </x:row>
    <x:row r="12">
      <x:c r="A12" s="23" t="str">
        <x:v>RC Deportivo</x:v>
      </x:c>
      <x:c r="B12" s="23" t="n">
        <x:v>1</x:v>
      </x:c>
      <x:c r="C12" s="23" t="n">
        <x:v>0</x:v>
      </x:c>
      <x:c r="D12" s="104" t="n">
        <x:v>2.4</x:v>
      </x:c>
      <x:c r="E12" s="103" t="n">
        <x:v>0.8</x:v>
      </x:c>
      <x:c r="F12" s="104" t="n">
        <x:v>1.6</x:v>
      </x:c>
      <x:c r="G12" s="104" t="n">
        <x:v>0.8</x:v>
      </x:c>
      <x:c r="H12" s="104" t="n">
        <x:v>2</x:v>
      </x:c>
      <x:c r="I12" s="104" t="n">
        <x:v>1.8</x:v>
      </x:c>
      <x:c r="J12" s="104" t="str"/>
      <x:c r="K12" s="23" t="str"/>
      <x:c r="L12" s="105" t="n">
        <x:v>1455.1579643226437</x:v>
      </x:c>
      <x:c r="M12" s="23" t="n">
        <x:v>0</x:v>
      </x:c>
      <x:c r="N12" s="23" t="n">
        <x:v>0</x:v>
      </x:c>
    </x:row>
    <x:row r="13">
      <x:c r="A13" s="23" t="str">
        <x:v>Elche CF</x:v>
      </x:c>
      <x:c r="B13" s="23" t="n">
        <x:v>0</x:v>
      </x:c>
      <x:c r="C13" s="23" t="n">
        <x:v>0</x:v>
      </x:c>
      <x:c r="D13" s="104" t="n">
        <x:v>1</x:v>
      </x:c>
      <x:c r="E13" s="103" t="n">
        <x:v>0.2</x:v>
      </x:c>
      <x:c r="F13" s="104" t="n">
        <x:v>1</x:v>
      </x:c>
      <x:c r="G13" s="104" t="n">
        <x:v>1.4</x:v>
      </x:c>
      <x:c r="H13" s="104" t="n">
        <x:v>2.6</x:v>
      </x:c>
      <x:c r="I13" s="104" t="n">
        <x:v>0.8</x:v>
      </x:c>
      <x:c r="J13" s="104" t="str"/>
      <x:c r="K13" s="23" t="str"/>
      <x:c r="L13" s="105" t="n">
        <x:v>1475.3898946051086</x:v>
      </x:c>
      <x:c r="M13" s="23" t="n">
        <x:v>0</x:v>
      </x:c>
      <x:c r="N13" s="23" t="n">
        <x:v>0</x:v>
      </x:c>
    </x:row>
    <x:row r="14">
      <x:c r="A14" s="23" t="str">
        <x:v>RCD Espanyol</x:v>
      </x:c>
      <x:c r="B14" s="23" t="n">
        <x:v>0</x:v>
      </x:c>
      <x:c r="C14" s="23" t="n">
        <x:v>0</x:v>
      </x:c>
      <x:c r="D14" s="104" t="n">
        <x:v>1.4</x:v>
      </x:c>
      <x:c r="E14" s="103" t="n">
        <x:v>0.4</x:v>
      </x:c>
      <x:c r="F14" s="104" t="n">
        <x:v>1.2</x:v>
      </x:c>
      <x:c r="G14" s="104" t="n">
        <x:v>1.2</x:v>
      </x:c>
      <x:c r="H14" s="104" t="n">
        <x:v>1</x:v>
      </x:c>
      <x:c r="I14" s="104" t="n">
        <x:v>0.8</x:v>
      </x:c>
      <x:c r="J14" s="104" t="str"/>
      <x:c r="K14" s="23" t="str"/>
      <x:c r="L14" s="105" t="n">
        <x:v>1469.7915487087444</x:v>
      </x:c>
      <x:c r="M14" s="23" t="n">
        <x:v>0</x:v>
      </x:c>
      <x:c r="N14" s="23" t="n">
        <x:v>0</x:v>
      </x:c>
    </x:row>
    <x:row r="15">
      <x:c r="A15" s="23" t="str">
        <x:v>Getafe CF</x:v>
      </x:c>
      <x:c r="B15" s="23" t="n">
        <x:v>0</x:v>
      </x:c>
      <x:c r="C15" s="23" t="n">
        <x:v>0</x:v>
      </x:c>
      <x:c r="D15" s="104" t="n">
        <x:v>1.4</x:v>
      </x:c>
      <x:c r="E15" s="103" t="n">
        <x:v>0.4</x:v>
      </x:c>
      <x:c r="F15" s="104" t="n">
        <x:v>0.8</x:v>
      </x:c>
      <x:c r="G15" s="104" t="n">
        <x:v>0.8</x:v>
      </x:c>
      <x:c r="H15" s="104" t="n">
        <x:v>1.8</x:v>
      </x:c>
      <x:c r="I15" s="104" t="n">
        <x:v>1.4</x:v>
      </x:c>
      <x:c r="J15" s="104" t="str"/>
      <x:c r="K15" s="23" t="str"/>
      <x:c r="L15" s="105" t="n">
        <x:v>1492.8115288694028</x:v>
      </x:c>
      <x:c r="M15" s="23" t="n">
        <x:v>0</x:v>
      </x:c>
      <x:c r="N15" s="23" t="n">
        <x:v>0</x:v>
      </x:c>
    </x:row>
    <x:row r="16">
      <x:c r="A16" s="23" t="str">
        <x:v>Levante UD</x:v>
      </x:c>
      <x:c r="B16" s="23" t="n">
        <x:v>0</x:v>
      </x:c>
      <x:c r="C16" s="23" t="n">
        <x:v>0</x:v>
      </x:c>
      <x:c r="D16" s="104" t="n">
        <x:v>1.8</x:v>
      </x:c>
      <x:c r="E16" s="103" t="n">
        <x:v>0.6</x:v>
      </x:c>
      <x:c r="F16" s="104" t="n">
        <x:v>2</x:v>
      </x:c>
      <x:c r="G16" s="104" t="n">
        <x:v>2.2</x:v>
      </x:c>
      <x:c r="H16" s="104" t="n">
        <x:v>3</x:v>
      </x:c>
      <x:c r="I16" s="104" t="n">
        <x:v>0.8</x:v>
      </x:c>
      <x:c r="J16" s="104" t="str"/>
      <x:c r="K16" s="23" t="str"/>
      <x:c r="L16" s="105" t="n">
        <x:v>1484.3659660848236</x:v>
      </x:c>
      <x:c r="M16" s="23" t="n">
        <x:v>0</x:v>
      </x:c>
      <x:c r="N16" s="23" t="n">
        <x:v>0</x:v>
      </x:c>
    </x:row>
    <x:row r="17">
      <x:c r="A17" s="23" t="str">
        <x:v>Málaga CF</x:v>
      </x:c>
      <x:c r="B17" s="23" t="n">
        <x:v>1</x:v>
      </x:c>
      <x:c r="C17" s="23" t="n">
        <x:v>0</x:v>
      </x:c>
      <x:c r="D17" s="104" t="n">
        <x:v>2.6</x:v>
      </x:c>
      <x:c r="E17" s="103" t="n">
        <x:v>0.8</x:v>
      </x:c>
      <x:c r="F17" s="104" t="n">
        <x:v>2.6</x:v>
      </x:c>
      <x:c r="G17" s="104" t="n">
        <x:v>1</x:v>
      </x:c>
      <x:c r="H17" s="104" t="n">
        <x:v>1.6</x:v>
      </x:c>
      <x:c r="I17" s="104" t="n">
        <x:v>2</x:v>
      </x:c>
      <x:c r="J17" s="104" t="str"/>
      <x:c r="K17" s="23" t="str"/>
      <x:c r="L17" s="105" t="n">
        <x:v>1449.8796167201926</x:v>
      </x:c>
      <x:c r="M17" s="23" t="n">
        <x:v>0</x:v>
      </x:c>
      <x:c r="N17" s="23" t="n">
        <x:v>0</x:v>
      </x:c>
    </x:row>
    <x:row r="18">
      <x:c r="A18" s="23" t="str">
        <x:v>CA Osasuna</x:v>
      </x:c>
      <x:c r="B18" s="23" t="n">
        <x:v>0</x:v>
      </x:c>
      <x:c r="C18" s="23" t="n">
        <x:v>0</x:v>
      </x:c>
      <x:c r="D18" s="104" t="n">
        <x:v>0</x:v>
      </x:c>
      <x:c r="E18" s="103" t="n">
        <x:v>0</x:v>
      </x:c>
      <x:c r="F18" s="104" t="n">
        <x:v>1</x:v>
      </x:c>
      <x:c r="G18" s="104" t="n">
        <x:v>2</x:v>
      </x:c>
      <x:c r="H18" s="104" t="n">
        <x:v>0.8</x:v>
      </x:c>
      <x:c r="I18" s="104" t="n">
        <x:v>0.2</x:v>
      </x:c>
      <x:c r="J18" s="104" t="str"/>
      <x:c r="K18" s="23" t="str"/>
      <x:c r="L18" s="105" t="n">
        <x:v>1472.152061291961</x:v>
      </x:c>
      <x:c r="M18" s="23" t="n">
        <x:v>0</x:v>
      </x:c>
      <x:c r="N18" s="23" t="n">
        <x:v>0</x:v>
      </x:c>
    </x:row>
    <x:row r="19">
      <x:c r="A19" s="23" t="str">
        <x:v>Racing de Santander</x:v>
      </x:c>
      <x:c r="B19" s="23" t="n">
        <x:v>1</x:v>
      </x:c>
      <x:c r="C19" s="23" t="n">
        <x:v>0</x:v>
      </x:c>
      <x:c r="D19" s="104" t="n">
        <x:v>2.6</x:v>
      </x:c>
      <x:c r="E19" s="103" t="n">
        <x:v>0.8</x:v>
      </x:c>
      <x:c r="F19" s="104" t="n">
        <x:v>3</x:v>
      </x:c>
      <x:c r="G19" s="104" t="n">
        <x:v>1.2</x:v>
      </x:c>
      <x:c r="H19" s="104" t="n">
        <x:v>3</x:v>
      </x:c>
      <x:c r="I19" s="104" t="n">
        <x:v>1.6</x:v>
      </x:c>
      <x:c r="J19" s="104" t="str"/>
      <x:c r="K19" s="23" t="str"/>
      <x:c r="L19" s="105" t="n">
        <x:v>1470.7098994240723</x:v>
      </x:c>
      <x:c r="M19" s="23" t="n">
        <x:v>0</x:v>
      </x:c>
      <x:c r="N19" s="23" t="n">
        <x:v>0</x:v>
      </x:c>
    </x:row>
    <x:row r="20">
      <x:c r="A20" s="23" t="str">
        <x:v>Real Madrid</x:v>
      </x:c>
      <x:c r="B20" s="23" t="n">
        <x:v>0</x:v>
      </x:c>
      <x:c r="C20" s="23" t="n">
        <x:v>0</x:v>
      </x:c>
      <x:c r="D20" s="104" t="n">
        <x:v>2.4</x:v>
      </x:c>
      <x:c r="E20" s="103" t="n">
        <x:v>0.8</x:v>
      </x:c>
      <x:c r="F20" s="104" t="n">
        <x:v>1.8</x:v>
      </x:c>
      <x:c r="G20" s="104" t="n">
        <x:v>0.8</x:v>
      </x:c>
      <x:c r="H20" s="104" t="n">
        <x:v>2.6</x:v>
      </x:c>
      <x:c r="I20" s="104" t="n">
        <x:v>1.4</x:v>
      </x:c>
      <x:c r="J20" s="104" t="str"/>
      <x:c r="K20" s="23" t="str"/>
      <x:c r="L20" s="105" t="n">
        <x:v>1643.8869079207884</x:v>
      </x:c>
      <x:c r="M20" s="23" t="n">
        <x:v>0</x:v>
      </x:c>
      <x:c r="N20" s="23" t="n">
        <x:v>0</x:v>
      </x:c>
    </x:row>
    <x:row r="21">
      <x:c r="A21" s="23" t="str">
        <x:v>Real Sociedad</x:v>
      </x:c>
      <x:c r="B21" s="23" t="n">
        <x:v>0</x:v>
      </x:c>
      <x:c r="C21" s="23" t="n">
        <x:v>0</x:v>
      </x:c>
      <x:c r="D21" s="104" t="n">
        <x:v>0.6</x:v>
      </x:c>
      <x:c r="E21" s="103" t="n">
        <x:v>0</x:v>
      </x:c>
      <x:c r="F21" s="104" t="n">
        <x:v>1.4</x:v>
      </x:c>
      <x:c r="G21" s="104" t="n">
        <x:v>1.8</x:v>
      </x:c>
      <x:c r="H21" s="104" t="n">
        <x:v>1</x:v>
      </x:c>
      <x:c r="I21" s="104" t="n">
        <x:v>0.6</x:v>
      </x:c>
      <x:c r="J21" s="104" t="str"/>
      <x:c r="K21" s="23" t="str"/>
      <x:c r="L21" s="105" t="n">
        <x:v>1489.5195498417131</x:v>
      </x:c>
      <x:c r="M21" s="23" t="n">
        <x:v>0</x:v>
      </x:c>
      <x:c r="N21" s="23" t="n">
        <x:v>0</x:v>
      </x:c>
    </x:row>
    <x:row r="22">
      <x:c r="A22" s="23" t="str">
        <x:v>Sevilla FC</x:v>
      </x:c>
      <x:c r="B22" s="23" t="n">
        <x:v>0</x:v>
      </x:c>
      <x:c r="C22" s="23" t="n">
        <x:v>0</x:v>
      </x:c>
      <x:c r="D22" s="104" t="n">
        <x:v>1.8</x:v>
      </x:c>
      <x:c r="E22" s="103" t="n">
        <x:v>0.6</x:v>
      </x:c>
      <x:c r="F22" s="104" t="n">
        <x:v>1.2</x:v>
      </x:c>
      <x:c r="G22" s="104" t="n">
        <x:v>1</x:v>
      </x:c>
      <x:c r="H22" s="104" t="n">
        <x:v>1.8</x:v>
      </x:c>
      <x:c r="I22" s="104" t="n">
        <x:v>0.6</x:v>
      </x:c>
      <x:c r="J22" s="104" t="str"/>
      <x:c r="K22" s="23" t="str"/>
      <x:c r="L22" s="105" t="n">
        <x:v>1467.2134536362496</x:v>
      </x:c>
      <x:c r="M22" s="23" t="n">
        <x:v>0</x:v>
      </x:c>
      <x:c r="N22" s="23" t="n">
        <x:v>0</x:v>
      </x:c>
    </x:row>
    <x:row r="23">
      <x:c r="A23" s="23" t="str">
        <x:v>Valencia CF</x:v>
      </x:c>
      <x:c r="B23" s="23" t="n">
        <x:v>0</x:v>
      </x:c>
      <x:c r="C23" s="23" t="n">
        <x:v>0</x:v>
      </x:c>
      <x:c r="D23" s="104" t="n">
        <x:v>2</x:v>
      </x:c>
      <x:c r="E23" s="103" t="n">
        <x:v>0.6</x:v>
      </x:c>
      <x:c r="F23" s="104" t="n">
        <x:v>1.8</x:v>
      </x:c>
      <x:c r="G23" s="104" t="n">
        <x:v>1.4</x:v>
      </x:c>
      <x:c r="H23" s="104" t="n">
        <x:v>1.4</x:v>
      </x:c>
      <x:c r="I23" s="104" t="n">
        <x:v>2</x:v>
      </x:c>
      <x:c r="J23" s="104" t="str"/>
      <x:c r="K23" s="23" t="str"/>
      <x:c r="L23" s="105" t="n">
        <x:v>1512.7914332123023</x:v>
      </x:c>
      <x:c r="M23" s="23" t="n">
        <x:v>0</x:v>
      </x:c>
      <x:c r="N23" s="23" t="n">
        <x:v>0</x:v>
      </x:c>
    </x:row>
    <x:row r="24">
      <x:c r="A24" s="23" t="str">
        <x:v>Rayo Vallecano</x:v>
      </x:c>
      <x:c r="B24" s="23" t="n">
        <x:v>0</x:v>
      </x:c>
      <x:c r="C24" s="23" t="n">
        <x:v>0</x:v>
      </x:c>
      <x:c r="D24" s="104" t="n">
        <x:v>2.2</x:v>
      </x:c>
      <x:c r="E24" s="103" t="n">
        <x:v>0.6</x:v>
      </x:c>
      <x:c r="F24" s="104" t="n">
        <x:v>1.6</x:v>
      </x:c>
      <x:c r="G24" s="104" t="n">
        <x:v>0.6</x:v>
      </x:c>
      <x:c r="H24" s="104" t="n">
        <x:v>2.2</x:v>
      </x:c>
      <x:c r="I24" s="104" t="n">
        <x:v>1.4</x:v>
      </x:c>
      <x:c r="J24" s="104" t="str"/>
      <x:c r="K24" s="23" t="str"/>
      <x:c r="L24" s="105" t="n">
        <x:v>1518.9810723253138</x:v>
      </x:c>
      <x:c r="M24" s="23" t="n">
        <x:v>0</x:v>
      </x:c>
      <x:c r="N24" s="23" t="n">
        <x:v>0</x:v>
      </x:c>
    </x:row>
    <x:row r="25">
      <x:c r="A25" s="23" t="str">
        <x:v>Villarreal CF</x:v>
      </x:c>
      <x:c r="B25" s="23" t="n">
        <x:v>0</x:v>
      </x:c>
      <x:c r="C25" s="23" t="n">
        <x:v>0</x:v>
      </x:c>
      <x:c r="D25" s="104" t="n">
        <x:v>1.4</x:v>
      </x:c>
      <x:c r="E25" s="103" t="n">
        <x:v>0.4</x:v>
      </x:c>
      <x:c r="F25" s="104" t="n">
        <x:v>2.6</x:v>
      </x:c>
      <x:c r="G25" s="104" t="n">
        <x:v>1.6</x:v>
      </x:c>
      <x:c r="H25" s="104" t="n">
        <x:v>2.4</x:v>
      </x:c>
      <x:c r="I25" s="104" t="n">
        <x:v>1</x:v>
      </x:c>
      <x:c r="J25" s="104" t="str"/>
      <x:c r="K25" s="23" t="str"/>
      <x:c r="L25" s="105" t="n">
        <x:v>1577.4033731013535</x:v>
      </x:c>
      <x:c r="M25" s="23" t="n">
        <x:v>0</x:v>
      </x:c>
      <x:c r="N25" s="23" t="n">
        <x:v>0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4eff91e0af4d48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30" customHeight="1">
      <x:c r="A1" s="22" t="str">
        <x:v>Historial de actualizaciones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</x:row>
    <x:row r="2" ht="32" customHeight="1">
      <x:c r="A2" s="7" t="str">
        <x:v>El update_id es determinista: repetir los mismos resultados y cuotas conserva la misma identidad lógica.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</x:row>
    <x:row r="5" ht="32" customHeight="1">
      <x:c r="A5" s="24" t="str">
        <x:v>Update ID</x:v>
      </x:c>
      <x:c r="B5" s="25" t="str">
        <x:v>Creado UTC</x:v>
      </x:c>
      <x:c r="C5" s="25" t="str">
        <x:v>Fecha snapshot</x:v>
      </x:c>
      <x:c r="D5" s="25" t="str">
        <x:v>Partidos jugados</x:v>
      </x:c>
      <x:c r="E5" s="25" t="str">
        <x:v>Jornadas completas</x:v>
      </x:c>
      <x:c r="F5" s="25" t="str">
        <x:v>Partidos pendientes</x:v>
      </x:c>
      <x:c r="G5" s="25" t="str">
        <x:v>Próxima jornada</x:v>
      </x:c>
      <x:c r="H5" s="25" t="str">
        <x:v>Pred. mercado</x:v>
      </x:c>
      <x:c r="I5" s="25" t="str">
        <x:v>Pred. deportivas</x:v>
      </x:c>
      <x:c r="J5" s="25" t="str">
        <x:v>Simulaciones</x:v>
      </x:c>
      <x:c r="K5" s="26" t="str">
        <x:v>Calidad OK</x:v>
      </x:c>
    </x:row>
    <x:row r="6">
      <x:c r="A6" s="23" t="str">
        <x:v>7f6a923c1a4600d7</x:v>
      </x:c>
      <x:c r="B6" s="107" t="n">
        <x:v>46226.915097847224</x:v>
      </x:c>
      <x:c r="C6" s="108" t="str">
        <x:v>2026-08-16</x:v>
      </x:c>
      <x:c r="D6" s="23" t="n">
        <x:v>0</x:v>
      </x:c>
      <x:c r="E6" s="23" t="n">
        <x:v>0</x:v>
      </x:c>
      <x:c r="F6" s="23" t="n">
        <x:v>380</x:v>
      </x:c>
      <x:c r="G6" s="23" t="n">
        <x:v>1</x:v>
      </x:c>
      <x:c r="H6" s="23" t="n">
        <x:v>0</x:v>
      </x:c>
      <x:c r="I6" s="23" t="n">
        <x:v>380</x:v>
      </x:c>
      <x:c r="J6" s="23" t="n">
        <x:v>50000</x:v>
      </x:c>
      <x:c r="K6" s="28" t="b">
        <x:v>1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515025e07dbd483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4" hidden="0" customWidth="1"/>
    <x:col min="3" max="3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Controles y guía de operación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Los 16 controles deben estar superados antes de publicar una actualización.</x:v>
      </x:c>
      <x:c r="B2" s="7"/>
      <x:c r="C2" s="7"/>
      <x:c r="D2" s="7"/>
      <x:c r="E2" s="7"/>
      <x:c r="F2" s="7"/>
      <x:c r="G2" s="7"/>
      <x:c r="H2" s="7"/>
    </x:row>
    <x:row r="5" ht="32" customHeight="1">
      <x:c r="A5" s="19" t="str">
        <x:v>Control</x:v>
      </x:c>
      <x:c r="B5" s="20" t="str">
        <x:v>Superado</x:v>
      </x:c>
      <x:c r="C5" s="21" t="str">
        <x:v>Valor</x:v>
      </x:c>
      <x:c r="E5" s="30" t="str">
        <x:v>Flujo recomendado después de cada jornada</x:v>
      </x:c>
      <x:c r="F5" s="30"/>
      <x:c r="G5" s="30"/>
      <x:c r="H5" s="30"/>
    </x:row>
    <x:row r="6" ht="32" customHeight="1">
      <x:c r="A6" t="str">
        <x:v>fixture_calendar_380</x:v>
      </x:c>
      <x:c r="B6" s="27" t="b">
        <x:v>1</x:v>
      </x:c>
      <x:c r="C6" t="n">
        <x:v>380</x:v>
      </x:c>
      <x:c r="E6" s="41" t="str">
        <x:v>1. Copiar los 10 resultados confirmados a data/incoming/results_2026_27.csv.</x:v>
      </x:c>
      <x:c r="F6" s="42"/>
      <x:c r="G6" s="42"/>
      <x:c r="H6" s="43"/>
    </x:row>
    <x:row r="7" ht="32" customHeight="1">
      <x:c r="A7" t="str">
        <x:v>fixture_ids_unique</x:v>
      </x:c>
      <x:c r="B7" s="27" t="b">
        <x:v>1</x:v>
      </x:c>
      <x:c r="C7" t="n">
        <x:v>380</x:v>
      </x:c>
      <x:c r="E7" s="44" t="str">
        <x:v>2. Añadir cuotas actuales si están disponibles; no son obligatorias.</x:v>
      </x:c>
      <x:c r="F7" s="45"/>
      <x:c r="G7" s="45"/>
      <x:c r="H7" s="46"/>
    </x:row>
    <x:row r="8" ht="32" customHeight="1">
      <x:c r="A8" t="str">
        <x:v>result_ids_unique</x:v>
      </x:c>
      <x:c r="B8" s="27" t="b">
        <x:v>1</x:v>
      </x:c>
      <x:c r="C8" t="n">
        <x:v>0</x:v>
      </x:c>
      <x:c r="E8" s="44" t="str">
        <x:v>3. Ejecutar scripts/update_season.py desde el entorno virtual.</x:v>
      </x:c>
      <x:c r="F8" s="45"/>
      <x:c r="G8" s="45"/>
      <x:c r="H8" s="46"/>
    </x:row>
    <x:row r="9" ht="32" customHeight="1">
      <x:c r="A9" t="str">
        <x:v>results_and_predictions_partition_calendar</x:v>
      </x:c>
      <x:c r="B9" s="27" t="b">
        <x:v>1</x:v>
      </x:c>
      <x:c r="C9" t="n">
        <x:v>380</x:v>
      </x:c>
      <x:c r="E9" s="44" t="str">
        <x:v>4. Confirmar que los 16 controles estén en OK.</x:v>
      </x:c>
      <x:c r="F9" s="45"/>
      <x:c r="G9" s="45"/>
      <x:c r="H9" s="46"/>
    </x:row>
    <x:row r="10" ht="32" customHeight="1">
      <x:c r="A10" t="str">
        <x:v>no_completed_fixture_is_predicted</x:v>
      </x:c>
      <x:c r="B10" s="27" t="b">
        <x:v>1</x:v>
      </x:c>
      <x:c r="C10" t="n">
        <x:v>0</x:v>
      </x:c>
      <x:c r="E10" s="44" t="str">
        <x:v>5. Revisar próxima jornada, cambios y simulación.</x:v>
      </x:c>
      <x:c r="F10" s="45"/>
      <x:c r="G10" s="45"/>
      <x:c r="H10" s="46"/>
    </x:row>
    <x:row r="11" ht="32" customHeight="1">
      <x:c r="A11" t="str">
        <x:v>prediction_probabilities_sum_to_one</x:v>
      </x:c>
      <x:c r="B11" s="27" t="b">
        <x:v>1</x:v>
      </x:c>
      <x:c r="C11" t="n">
        <x:v>2.220446049250313e-16</x:v>
      </x:c>
      <x:c r="E11" s="44" t="str">
        <x:v>6. Conservar el snapshot creado por update_id.</x:v>
      </x:c>
      <x:c r="F11" s="45"/>
      <x:c r="G11" s="45"/>
      <x:c r="H11" s="46"/>
    </x:row>
    <x:row r="12" ht="32" customHeight="1">
      <x:c r="A12" t="str">
        <x:v>prediction_probabilities_in_range</x:v>
      </x:c>
      <x:c r="B12" s="27" t="b">
        <x:v>1</x:v>
      </x:c>
      <x:c r="C12" t="n">
        <x:v>380</x:v>
      </x:c>
      <x:c r="E12" s="47" t="str">
        <x:v>7. Usar --allow-partial solo para seguimiento en vivo.</x:v>
      </x:c>
      <x:c r="F12" s="48"/>
      <x:c r="G12" s="48"/>
      <x:c r="H12" s="49"/>
    </x:row>
    <x:row r="13">
      <x:c r="A13" t="str">
        <x:v>market_model_only_with_odds</x:v>
      </x:c>
      <x:c r="B13" s="27" t="b">
        <x:v>1</x:v>
      </x:c>
      <x:c r="C13" t="n">
        <x:v>0</x:v>
      </x:c>
    </x:row>
    <x:row r="14">
      <x:c r="A14" t="str">
        <x:v>latest_odds_one_row_per_fixture</x:v>
      </x:c>
      <x:c r="B14" s="27" t="b">
        <x:v>1</x:v>
      </x:c>
      <x:c r="C14" t="n">
        <x:v>0</x:v>
      </x:c>
    </x:row>
    <x:row r="15">
      <x:c r="A15" t="str">
        <x:v>simulation_has_20_teams</x:v>
      </x:c>
      <x:c r="B15" s="27" t="b">
        <x:v>1</x:v>
      </x:c>
      <x:c r="C15" t="n">
        <x:v>20</x:v>
      </x:c>
    </x:row>
    <x:row r="16">
      <x:c r="A16" t="str">
        <x:v>champion_probability_reconciles</x:v>
      </x:c>
      <x:c r="B16" s="27" t="b">
        <x:v>1</x:v>
      </x:c>
      <x:c r="C16" t="n">
        <x:v>0.9999999999999999</x:v>
      </x:c>
    </x:row>
    <x:row r="17">
      <x:c r="A17" t="str">
        <x:v>top4_probability_reconciles</x:v>
      </x:c>
      <x:c r="B17" s="27" t="b">
        <x:v>1</x:v>
      </x:c>
      <x:c r="C17" t="n">
        <x:v>4</x:v>
      </x:c>
    </x:row>
    <x:row r="18">
      <x:c r="A18" t="str">
        <x:v>top7_probability_reconciles</x:v>
      </x:c>
      <x:c r="B18" s="27" t="b">
        <x:v>1</x:v>
      </x:c>
      <x:c r="C18" t="n">
        <x:v>7</x:v>
      </x:c>
    </x:row>
    <x:row r="19">
      <x:c r="A19" t="str">
        <x:v>relegation_probability_reconciles</x:v>
      </x:c>
      <x:c r="B19" s="27" t="b">
        <x:v>1</x:v>
      </x:c>
      <x:c r="C19" t="n">
        <x:v>2.9999999999999996</x:v>
      </x:c>
    </x:row>
    <x:row r="20">
      <x:c r="A20" t="str">
        <x:v>position_distribution_400_rows</x:v>
      </x:c>
      <x:c r="B20" s="27" t="b">
        <x:v>1</x:v>
      </x:c>
      <x:c r="C20" t="n">
        <x:v>400</x:v>
      </x:c>
    </x:row>
    <x:row r="21">
      <x:c r="A21" t="str">
        <x:v>each_team_position_probabilities_sum_to_one</x:v>
      </x:c>
      <x:c r="B21" s="27" t="b">
        <x:v>1</x:v>
      </x:c>
      <x:c r="C21" t="n">
        <x:v>20</x:v>
      </x:c>
    </x:row>
  </x:sheetData>
  <x:mergeCells>
    <x:mergeCell ref="A1:H1"/>
    <x:mergeCell ref="A2:H2"/>
    <x:mergeCell ref="E5:H5"/>
    <x:mergeCell ref="E6:H6"/>
    <x:mergeCell ref="E7:H7"/>
    <x:mergeCell ref="E8:H8"/>
    <x:mergeCell ref="E9:H9"/>
    <x:mergeCell ref="E10:H10"/>
    <x:mergeCell ref="E11:H11"/>
    <x:mergeCell ref="E12:H12"/>
  </x:mergeCells>
  <x:pageMargins left="0.7" right="0.7" top="0.75" bottom="0.75" header="0.3" footer="0.3"/>
  <x:tableParts count="1">
    <x:tablePart xmlns:r="http://schemas.openxmlformats.org/officeDocument/2006/relationships" r:id="R74f9e7e8c4ff4172"/>
  </x:tableParts>
</x:worksheet>
</file>